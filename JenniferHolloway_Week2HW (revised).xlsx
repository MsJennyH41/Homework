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updateLinks="never" hidePivotFieldList="1"/>
  <mc:AlternateContent xmlns:mc="http://schemas.openxmlformats.org/markup-compatibility/2006">
    <mc:Choice Requires="x15">
      <x15ac:absPath xmlns:x15ac="http://schemas.microsoft.com/office/spreadsheetml/2010/11/ac" url="C:\Users\johan\CODE\savvyDAP\dap-curriculum\Section06\activities\"/>
    </mc:Choice>
  </mc:AlternateContent>
  <xr:revisionPtr revIDLastSave="0" documentId="8_{DE06E7CC-13CA-42DC-8CF4-E281E66BB0D8}" xr6:coauthVersionLast="47" xr6:coauthVersionMax="47" xr10:uidLastSave="{00000000-0000-0000-0000-000000000000}"/>
  <bookViews>
    <workbookView xWindow="17172" yWindow="-108" windowWidth="17496" windowHeight="10416" firstSheet="4" activeTab="6" xr2:uid="{00000000-000D-0000-FFFF-FFFF00000000}"/>
  </bookViews>
  <sheets>
    <sheet name="Instructions" sheetId="6" r:id="rId1"/>
    <sheet name="Homework Instructions" sheetId="16" r:id="rId2"/>
    <sheet name="IAS" sheetId="18" r:id="rId3"/>
    <sheet name="Suppliers" sheetId="17" r:id="rId4"/>
    <sheet name="Payments" sheetId="19" r:id="rId5"/>
    <sheet name="Roster" sheetId="20" r:id="rId6"/>
    <sheet name="Credit Card Debt" sheetId="21" r:id="rId7"/>
    <sheet name="Expenses" sheetId="15" r:id="rId8"/>
  </sheets>
  <definedNames>
    <definedName name="_xlnm.Print_Area" localSheetId="1">'Homework Instructions'!$A$1:$B$12</definedName>
    <definedName name="_xlnm.Print_Area" localSheetId="0">Instructions!$A$1:$B$16</definedName>
    <definedName name="_xlnm.Print_Titles" localSheetId="1">'Homework Instructions'!$1:$1</definedName>
    <definedName name="_xlnm.Print_Titles" localSheetId="0">Instructions!$1:$1</definedName>
  </definedNames>
  <calcPr calcId="191028"/>
  <pivotCaches>
    <pivotCache cacheId="3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1" l="1"/>
  <c r="G6" i="21"/>
  <c r="G7" i="21"/>
  <c r="G8" i="21"/>
  <c r="G4" i="21"/>
  <c r="F5" i="21"/>
  <c r="F6" i="21"/>
  <c r="F7" i="21"/>
  <c r="F8" i="21"/>
  <c r="F4" i="21"/>
  <c r="E5" i="21"/>
  <c r="E6" i="21"/>
  <c r="E7" i="21"/>
  <c r="E8" i="21"/>
  <c r="E4" i="21"/>
  <c r="B21" i="20"/>
  <c r="D20" i="20"/>
  <c r="C20" i="20"/>
  <c r="D19" i="20"/>
  <c r="C19" i="20"/>
  <c r="D18" i="20"/>
  <c r="C18" i="20"/>
  <c r="D17" i="20"/>
  <c r="C17" i="20"/>
  <c r="D16" i="20"/>
  <c r="C16" i="20"/>
</calcChain>
</file>

<file path=xl/sharedStrings.xml><?xml version="1.0" encoding="utf-8"?>
<sst xmlns="http://schemas.openxmlformats.org/spreadsheetml/2006/main" count="1450" uniqueCount="192">
  <si>
    <t>Step</t>
  </si>
  <si>
    <t>Instructions to insert a Pivot Table</t>
  </si>
  <si>
    <r>
      <t xml:space="preserve">Open the Expenses sheet and note that one of the column headings is blank - we will not be able to create a pivot table which includes all the data on the Expenses sheet if one of the field names that need to be used in our pivot table is blank. </t>
    </r>
    <r>
      <rPr>
        <b/>
        <sz val="12"/>
        <rFont val="Arial"/>
        <family val="2"/>
      </rPr>
      <t>Select cell F4 and enter the following heading for the column: Tax Code</t>
    </r>
    <r>
      <rPr>
        <sz val="12"/>
        <rFont val="Arial"/>
        <family val="2"/>
      </rPr>
      <t xml:space="preserve">
</t>
    </r>
  </si>
  <si>
    <r>
      <rPr>
        <b/>
        <sz val="12"/>
        <rFont val="Arial"/>
        <family val="2"/>
      </rPr>
      <t>Insert the data on the Expenses sheet into an Excel table.</t>
    </r>
    <r>
      <rPr>
        <sz val="12"/>
        <rFont val="Arial"/>
        <family val="2"/>
      </rPr>
      <t xml:space="preserve"> 
If the source data of a pivot table is included in an Excel table, you will not have to edit the source data cell range of the pivot table when you add additional transactions at the bottom of the Expenses sheet.
</t>
    </r>
  </si>
  <si>
    <t xml:space="preserve">Change the table name to: ExpTable
</t>
  </si>
  <si>
    <t xml:space="preserve">Create a pivot table on a new worksheet which is based on all the cells that have been inserted into the new Excel table. Use the pivot table to display the total tax inclusive amount for each supplier that is included in our source data.
</t>
  </si>
  <si>
    <t xml:space="preserve">Rename the new sheet as: Suppliers
</t>
  </si>
  <si>
    <t xml:space="preserve">Change the number formatting in the amount section of the pivot table so that all the amounts include thousands separators and two decimal numbers. 
Use the pivot table feature for this purpose so that the new number formatting is retained after the pivot table is refreshed.
</t>
  </si>
  <si>
    <t xml:space="preserve">Change the column width of column B to 16.
</t>
  </si>
  <si>
    <t xml:space="preserve">Wrap the column heading in column B so that it is displayed in two lines and center the text.
</t>
  </si>
  <si>
    <t xml:space="preserve">Change the pivot table settings so that the adjusted column width is retained after refreshing the pivot table.
</t>
  </si>
  <si>
    <t xml:space="preserve">Open the Expenses sheet and change the amount in row 14 from 13,000 to 33,000.
</t>
  </si>
  <si>
    <t xml:space="preserve">Open the Suppliers sheet and note the grand total at the bottom of the pivot table. Refresh the pivot table and note the change in the grand total.
</t>
  </si>
  <si>
    <t>Change the order of the supplier names in column A so that the suppliers are sorted in a descending order (from Z to A).</t>
  </si>
  <si>
    <t xml:space="preserve">Drill down to the source data that makes up the supplier total for the IAS Accountants supplier.
</t>
  </si>
  <si>
    <t xml:space="preserve">Rename the new sheet as: IAS
</t>
  </si>
  <si>
    <t xml:space="preserve">Save the workbook and compare your workbook to the solution that we've provided.
</t>
  </si>
  <si>
    <t>Task</t>
  </si>
  <si>
    <t xml:space="preserve">Open the Expenses sheet and create another pivot table which reflects an expense total (tax inclusive amount) for each of the payment dates that are included in column I.
</t>
  </si>
  <si>
    <t xml:space="preserve">Rename the new sheet as: Payments
</t>
  </si>
  <si>
    <t xml:space="preserve">Filter the pivot table so that only payment dates on or after 1 January 2012 is displayed.
</t>
  </si>
  <si>
    <t>Change the layout of the pivot table so that the individual bank codes are included in separate columns in the pivot table.</t>
  </si>
  <si>
    <t xml:space="preserve">Adjust the column widths of all the columns that are included in the pivot table to 16.
</t>
  </si>
  <si>
    <r>
      <t xml:space="preserve">Change the formatting style of the pivot table to Pivot Style Medium 20 
</t>
    </r>
    <r>
      <rPr>
        <i/>
        <sz val="12"/>
        <rFont val="Arial"/>
        <family val="2"/>
      </rPr>
      <t>(Tip: Hover your mouse over the appropriate image in the Pivot Table Styles section of the appropriate ribbon tab in order to display a description for each of the pivot table styles)</t>
    </r>
    <r>
      <rPr>
        <sz val="12"/>
        <rFont val="Arial"/>
        <family val="2"/>
      </rPr>
      <t xml:space="preserve">.
</t>
    </r>
  </si>
  <si>
    <t>Details for Sum of Tax Inclusive Amount - Supplier: IAS Accountants</t>
  </si>
  <si>
    <t>Document Date</t>
  </si>
  <si>
    <t>Supplier</t>
  </si>
  <si>
    <t>Reference</t>
  </si>
  <si>
    <t>Description</t>
  </si>
  <si>
    <t>Tax Inclusive Amount</t>
  </si>
  <si>
    <t>Tax Code</t>
  </si>
  <si>
    <t>Bank Code</t>
  </si>
  <si>
    <t>Account Code</t>
  </si>
  <si>
    <t>Payment Date</t>
  </si>
  <si>
    <t>IAS Accountants</t>
  </si>
  <si>
    <t>Invoice</t>
  </si>
  <si>
    <t>Bookkeeping</t>
  </si>
  <si>
    <t>A</t>
  </si>
  <si>
    <t>B1</t>
  </si>
  <si>
    <t>IS-305</t>
  </si>
  <si>
    <t>Sum of Tax Inclusive Amount</t>
  </si>
  <si>
    <t>XY Traders</t>
  </si>
  <si>
    <t>XY Solutions</t>
  </si>
  <si>
    <t>Waltons</t>
  </si>
  <si>
    <t>Training Inc</t>
  </si>
  <si>
    <t>SA Airlines</t>
  </si>
  <si>
    <t>QQ International</t>
  </si>
  <si>
    <t>QA Attorneys</t>
  </si>
  <si>
    <t>PR Properties</t>
  </si>
  <si>
    <t>Newscorp</t>
  </si>
  <si>
    <t>Municipality</t>
  </si>
  <si>
    <t>JSE Brokers</t>
  </si>
  <si>
    <t>IS Communications</t>
  </si>
  <si>
    <t>Interflora</t>
  </si>
  <si>
    <t>Inland Revenue</t>
  </si>
  <si>
    <t>HP Finance</t>
  </si>
  <si>
    <t>GF Supplies</t>
  </si>
  <si>
    <t>Furniture City</t>
  </si>
  <si>
    <t>Example (Pty) Ltd</t>
  </si>
  <si>
    <t>EAG Brokers</t>
  </si>
  <si>
    <t>DF Equipment</t>
  </si>
  <si>
    <t>City Lodge</t>
  </si>
  <si>
    <t>Capital Bank</t>
  </si>
  <si>
    <t>ACC Institute</t>
  </si>
  <si>
    <t>Grand Total</t>
  </si>
  <si>
    <t>B2</t>
  </si>
  <si>
    <t>PC</t>
  </si>
  <si>
    <t>Student Name</t>
  </si>
  <si>
    <t>Age</t>
  </si>
  <si>
    <t>Grade</t>
  </si>
  <si>
    <t>Class</t>
  </si>
  <si>
    <t>Sarah Ashworth</t>
  </si>
  <si>
    <t>Social Studies</t>
  </si>
  <si>
    <t>Amanda Johnson</t>
  </si>
  <si>
    <t>David Cline</t>
  </si>
  <si>
    <t>Matthew Roberts</t>
  </si>
  <si>
    <t>Sierra Chadwick</t>
  </si>
  <si>
    <t>Ronnie Dangerfield</t>
  </si>
  <si>
    <t>Thomas Cruise</t>
  </si>
  <si>
    <t>Bradley Swickerwrath</t>
  </si>
  <si>
    <t>Gracie Smith</t>
  </si>
  <si>
    <t>John McDonald</t>
  </si>
  <si>
    <t>Raymond James</t>
  </si>
  <si>
    <t>MIN</t>
  </si>
  <si>
    <t>MAX</t>
  </si>
  <si>
    <t>AVG</t>
  </si>
  <si>
    <t>MODE</t>
  </si>
  <si>
    <t>MEDIAN</t>
  </si>
  <si>
    <t>COUNT</t>
  </si>
  <si>
    <t>Credit Card Debt</t>
  </si>
  <si>
    <t>Credit Card</t>
  </si>
  <si>
    <t>Balance</t>
  </si>
  <si>
    <t>Interest Rate</t>
  </si>
  <si>
    <t>Months</t>
  </si>
  <si>
    <t>Interest Paid</t>
  </si>
  <si>
    <t>Total Loan Amount</t>
  </si>
  <si>
    <t>Monthly Payment</t>
  </si>
  <si>
    <t>Discover</t>
  </si>
  <si>
    <t>Capital One</t>
  </si>
  <si>
    <t>Citi Card</t>
  </si>
  <si>
    <t>Target</t>
  </si>
  <si>
    <t>Wal-Mart</t>
  </si>
  <si>
    <t>Expenses</t>
  </si>
  <si>
    <t>S77782</t>
  </si>
  <si>
    <t>Opening Balance</t>
  </si>
  <si>
    <t>BS-500</t>
  </si>
  <si>
    <t>Invoice EXP22</t>
  </si>
  <si>
    <t>Internet Service Provider</t>
  </si>
  <si>
    <t>IS-380</t>
  </si>
  <si>
    <t>I381119</t>
  </si>
  <si>
    <t>Subscriptions</t>
  </si>
  <si>
    <t>IS-375</t>
  </si>
  <si>
    <t>Debit Order</t>
  </si>
  <si>
    <t>Insurance</t>
  </si>
  <si>
    <t>IS-340</t>
  </si>
  <si>
    <t>Bank Statement</t>
  </si>
  <si>
    <t>Service Fees</t>
  </si>
  <si>
    <t>IS-315</t>
  </si>
  <si>
    <t>Cash</t>
  </si>
  <si>
    <t>Flowers</t>
  </si>
  <si>
    <t>IS-345</t>
  </si>
  <si>
    <t>TR6998</t>
  </si>
  <si>
    <t>Parking</t>
  </si>
  <si>
    <t>IS-390</t>
  </si>
  <si>
    <t>Transfer</t>
  </si>
  <si>
    <t>Inter Account Transfer</t>
  </si>
  <si>
    <t>E</t>
  </si>
  <si>
    <t>BS-399</t>
  </si>
  <si>
    <t>Payroll</t>
  </si>
  <si>
    <t>Salaries</t>
  </si>
  <si>
    <t>IS-365</t>
  </si>
  <si>
    <t>Capital repayment</t>
  </si>
  <si>
    <t>BS-700</t>
  </si>
  <si>
    <t>Interest paid</t>
  </si>
  <si>
    <t>IS-500</t>
  </si>
  <si>
    <t>Rent</t>
  </si>
  <si>
    <t>IS-350</t>
  </si>
  <si>
    <t>Petty Cash Reimbursement</t>
  </si>
  <si>
    <t>Invoice EXP23</t>
  </si>
  <si>
    <t>Return</t>
  </si>
  <si>
    <t>Sales Tax</t>
  </si>
  <si>
    <t>BS-600</t>
  </si>
  <si>
    <t>Furniture</t>
  </si>
  <si>
    <t>BS-100</t>
  </si>
  <si>
    <t>IN1179</t>
  </si>
  <si>
    <t>Consumables</t>
  </si>
  <si>
    <t>IS-325</t>
  </si>
  <si>
    <t>Invoice EXP24</t>
  </si>
  <si>
    <t>Course</t>
  </si>
  <si>
    <t>IS-385</t>
  </si>
  <si>
    <t>S50037</t>
  </si>
  <si>
    <t>Accommodation</t>
  </si>
  <si>
    <t>Stationery</t>
  </si>
  <si>
    <t>IS-370</t>
  </si>
  <si>
    <t>Invoice EXP25</t>
  </si>
  <si>
    <t>SA11235</t>
  </si>
  <si>
    <t>Travel</t>
  </si>
  <si>
    <t>Invoice EXP26</t>
  </si>
  <si>
    <t>IN1181</t>
  </si>
  <si>
    <t>M00321037</t>
  </si>
  <si>
    <t>Annual Membership</t>
  </si>
  <si>
    <t>Invoice EXP27</t>
  </si>
  <si>
    <t>Invoice 9987</t>
  </si>
  <si>
    <t>Commission</t>
  </si>
  <si>
    <t>IS-320</t>
  </si>
  <si>
    <t>SA11988</t>
  </si>
  <si>
    <t>Remittance</t>
  </si>
  <si>
    <t>Share investment</t>
  </si>
  <si>
    <t>BS-200</t>
  </si>
  <si>
    <t>Provisional Tax</t>
  </si>
  <si>
    <t>IS-600</t>
  </si>
  <si>
    <t>Invoice EXP28</t>
  </si>
  <si>
    <t>Statement</t>
  </si>
  <si>
    <t>Rates</t>
  </si>
  <si>
    <t>IS-395</t>
  </si>
  <si>
    <t>Legal advice</t>
  </si>
  <si>
    <t>IS-360</t>
  </si>
  <si>
    <t>Invoice11203</t>
  </si>
  <si>
    <t>Invoice EXP29</t>
  </si>
  <si>
    <t>IN1185</t>
  </si>
  <si>
    <t>SA12741</t>
  </si>
  <si>
    <t>Invoice EXP30</t>
  </si>
  <si>
    <t>Invoice 12987</t>
  </si>
  <si>
    <t>Invoice EXP31</t>
  </si>
  <si>
    <t>M00353051</t>
  </si>
  <si>
    <t>Invoice 13432</t>
  </si>
  <si>
    <t>IN1192</t>
  </si>
  <si>
    <t>Invoice EXP32</t>
  </si>
  <si>
    <t>Training</t>
  </si>
  <si>
    <t>Invoice 14278</t>
  </si>
  <si>
    <t>Invoice EXP33</t>
  </si>
  <si>
    <t>Office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</si>
</sst>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mmm\-yyyy"/>
    <numFmt numFmtId="166" formatCode="&quot;$&quot;#,##0.00"/>
    <numFmt numFmtId="167" formatCode="&quot;$&quot;#,##0"/>
  </numFmts>
  <fonts count="14">
    <font>
      <sz val="10"/>
      <name val="Arial"/>
    </font>
    <font>
      <sz val="11"/>
      <color theme="1"/>
      <name val="Book Antiqua"/>
      <family val="2"/>
      <scheme val="minor"/>
    </font>
    <font>
      <sz val="10"/>
      <color theme="1"/>
      <name val="Book Antiqua"/>
      <family val="2"/>
      <scheme val="minor"/>
    </font>
    <font>
      <b/>
      <sz val="10"/>
      <color theme="1"/>
      <name val="Book Antiqua"/>
      <family val="2"/>
      <scheme val="minor"/>
    </font>
    <font>
      <sz val="11"/>
      <color rgb="FF080808"/>
      <name val="Book Antiqua"/>
      <family val="2"/>
      <scheme val="minor"/>
    </font>
    <font>
      <sz val="10"/>
      <name val="Arial"/>
      <family val="2"/>
    </font>
    <font>
      <b/>
      <sz val="12"/>
      <name val="Arial"/>
      <family val="2"/>
    </font>
    <font>
      <sz val="12"/>
      <name val="Arial"/>
      <family val="2"/>
    </font>
    <font>
      <i/>
      <sz val="12"/>
      <name val="Arial"/>
      <family val="2"/>
    </font>
    <font>
      <b/>
      <i/>
      <sz val="12"/>
      <name val="Arial"/>
      <family val="2"/>
    </font>
    <font>
      <b/>
      <sz val="12"/>
      <color theme="1"/>
      <name val="Arial"/>
      <family val="2"/>
    </font>
    <font>
      <sz val="12"/>
      <color theme="1"/>
      <name val="Arial"/>
      <family val="2"/>
    </font>
    <font>
      <b/>
      <sz val="10"/>
      <name val="Arial"/>
    </font>
    <font>
      <sz val="12"/>
      <color rgb="FF1F2328"/>
      <name val="Mona Sans VF"/>
      <charset val="1"/>
    </font>
  </fonts>
  <fills count="8">
    <fill>
      <patternFill patternType="none"/>
    </fill>
    <fill>
      <patternFill patternType="gray125"/>
    </fill>
    <fill>
      <patternFill patternType="solid">
        <fgColor rgb="FFFFFF71"/>
        <bgColor indexed="64"/>
      </patternFill>
    </fill>
    <fill>
      <patternFill patternType="solid">
        <fgColor rgb="FF81C9FF"/>
        <bgColor indexed="64"/>
      </patternFill>
    </fill>
    <fill>
      <patternFill patternType="solid">
        <fgColor rgb="FFCCFFFF"/>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FFFF"/>
        <bgColor indexed="64"/>
      </patternFill>
    </fill>
  </fills>
  <borders count="7">
    <border>
      <left/>
      <right/>
      <top/>
      <bottom/>
      <diagonal/>
    </border>
    <border>
      <left style="medium">
        <color theme="1"/>
      </left>
      <right style="medium">
        <color theme="1"/>
      </right>
      <top style="medium">
        <color theme="1"/>
      </top>
      <bottom style="medium">
        <color theme="1"/>
      </bottom>
      <diagonal/>
    </border>
    <border>
      <left style="medium">
        <color theme="1" tint="0.14993743705557422"/>
      </left>
      <right style="medium">
        <color theme="1" tint="0.14993743705557422"/>
      </right>
      <top style="medium">
        <color theme="1" tint="0.14993743705557422"/>
      </top>
      <bottom style="medium">
        <color theme="1" tint="0.14993743705557422"/>
      </bottom>
      <diagonal/>
    </border>
    <border>
      <left style="thin">
        <color indexed="64"/>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2" tint="-4.9989318521683403E-2"/>
      </left>
      <right style="medium">
        <color theme="2" tint="-4.9989318521683403E-2"/>
      </right>
      <top style="medium">
        <color theme="2" tint="-4.9989318521683403E-2"/>
      </top>
      <bottom style="medium">
        <color theme="2" tint="-4.9989318521683403E-2"/>
      </bottom>
      <diagonal/>
    </border>
    <border>
      <left style="thin">
        <color indexed="64"/>
      </left>
      <right style="thin">
        <color indexed="64"/>
      </right>
      <top/>
      <bottom style="thin">
        <color indexed="64"/>
      </bottom>
      <diagonal/>
    </border>
  </borders>
  <cellStyleXfs count="8">
    <xf numFmtId="0" fontId="0" fillId="0" borderId="0"/>
    <xf numFmtId="0" fontId="2" fillId="2" borderId="1" applyNumberFormat="0" applyAlignment="0" applyProtection="0"/>
    <xf numFmtId="0" fontId="3" fillId="3" borderId="2" applyNumberFormat="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5" fontId="4" fillId="5" borderId="5">
      <alignment horizontal="left"/>
    </xf>
    <xf numFmtId="164" fontId="5" fillId="0" borderId="0" applyFont="0" applyFill="0" applyBorder="0" applyAlignment="0" applyProtection="0"/>
  </cellStyleXfs>
  <cellXfs count="45">
    <xf numFmtId="0" fontId="0" fillId="0" borderId="0" xfId="0"/>
    <xf numFmtId="0" fontId="6" fillId="4"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0" borderId="0" xfId="0" applyFont="1" applyAlignment="1">
      <alignment vertical="center"/>
    </xf>
    <xf numFmtId="0" fontId="7" fillId="0" borderId="4" xfId="0" applyFont="1" applyBorder="1" applyAlignment="1">
      <alignment horizontal="center" vertical="top"/>
    </xf>
    <xf numFmtId="0" fontId="7" fillId="0" borderId="4" xfId="0" applyFont="1" applyBorder="1" applyAlignment="1">
      <alignment horizontal="justify" vertical="top" wrapText="1"/>
    </xf>
    <xf numFmtId="0" fontId="7" fillId="0" borderId="0" xfId="0" applyFont="1" applyAlignment="1">
      <alignment vertical="center"/>
    </xf>
    <xf numFmtId="0" fontId="6" fillId="0" borderId="4" xfId="0" applyFont="1" applyBorder="1" applyAlignment="1">
      <alignment horizontal="center" vertical="top"/>
    </xf>
    <xf numFmtId="0" fontId="9" fillId="0" borderId="4" xfId="0" applyFont="1" applyBorder="1" applyAlignment="1">
      <alignment horizontal="justify" vertical="top" wrapText="1"/>
    </xf>
    <xf numFmtId="0" fontId="7" fillId="0" borderId="0" xfId="0" applyFont="1" applyAlignment="1">
      <alignment horizontal="center" vertical="center"/>
    </xf>
    <xf numFmtId="0" fontId="7" fillId="0" borderId="0" xfId="0" applyFont="1" applyAlignment="1">
      <alignment vertical="center" wrapText="1"/>
    </xf>
    <xf numFmtId="0" fontId="8" fillId="0" borderId="0" xfId="0" applyFont="1" applyAlignment="1">
      <alignment horizontal="left"/>
    </xf>
    <xf numFmtId="0" fontId="7" fillId="0" borderId="0" xfId="0" applyFont="1"/>
    <xf numFmtId="0" fontId="7" fillId="0" borderId="0" xfId="7" applyNumberFormat="1" applyFont="1"/>
    <xf numFmtId="0" fontId="7" fillId="0" borderId="0" xfId="0" applyFont="1" applyAlignment="1">
      <alignment horizontal="center"/>
    </xf>
    <xf numFmtId="0" fontId="10" fillId="0" borderId="0" xfId="0" applyFont="1" applyAlignment="1">
      <alignment wrapText="1"/>
    </xf>
    <xf numFmtId="14" fontId="11" fillId="0" borderId="0" xfId="0" applyNumberFormat="1" applyFont="1" applyAlignment="1">
      <alignment horizontal="left"/>
    </xf>
    <xf numFmtId="0" fontId="11" fillId="0" borderId="0" xfId="0" applyFont="1"/>
    <xf numFmtId="164" fontId="11" fillId="0" borderId="0" xfId="7" applyFont="1" applyFill="1" applyBorder="1"/>
    <xf numFmtId="0" fontId="11" fillId="0" borderId="0" xfId="0" applyFont="1" applyAlignment="1">
      <alignment horizontal="center"/>
    </xf>
    <xf numFmtId="14" fontId="11" fillId="0" borderId="0" xfId="0" applyNumberFormat="1" applyFont="1" applyAlignment="1">
      <alignment horizontal="center"/>
    </xf>
    <xf numFmtId="14" fontId="7" fillId="0" borderId="0" xfId="0" applyNumberFormat="1" applyFont="1" applyAlignment="1">
      <alignment horizontal="left"/>
    </xf>
    <xf numFmtId="164" fontId="7" fillId="0" borderId="0" xfId="7" applyFont="1"/>
    <xf numFmtId="14" fontId="7" fillId="0" borderId="0" xfId="0" applyNumberFormat="1" applyFont="1" applyAlignment="1">
      <alignment horizontal="center"/>
    </xf>
    <xf numFmtId="0" fontId="6" fillId="0" borderId="4" xfId="0" applyFont="1" applyBorder="1" applyAlignment="1">
      <alignment horizontal="justify" vertical="top" wrapText="1"/>
    </xf>
    <xf numFmtId="0" fontId="10" fillId="6" borderId="6" xfId="0" applyFont="1" applyFill="1" applyBorder="1" applyAlignment="1">
      <alignment horizontal="left" wrapText="1"/>
    </xf>
    <xf numFmtId="0" fontId="10" fillId="6" borderId="6" xfId="0" applyFont="1" applyFill="1" applyBorder="1" applyAlignment="1">
      <alignment wrapText="1"/>
    </xf>
    <xf numFmtId="0" fontId="10" fillId="6" borderId="6" xfId="7" applyNumberFormat="1" applyFont="1" applyFill="1" applyBorder="1" applyAlignment="1">
      <alignment horizontal="center" wrapText="1"/>
    </xf>
    <xf numFmtId="0" fontId="10" fillId="6" borderId="6" xfId="0" applyFont="1" applyFill="1" applyBorder="1" applyAlignment="1">
      <alignment horizontal="center" wrapText="1"/>
    </xf>
    <xf numFmtId="0" fontId="0" fillId="0" borderId="0" xfId="0" pivotButton="1"/>
    <xf numFmtId="166" fontId="0" fillId="0" borderId="0" xfId="0" applyNumberFormat="1" applyAlignment="1">
      <alignment wrapText="1"/>
    </xf>
    <xf numFmtId="14" fontId="0" fillId="0" borderId="0" xfId="0" applyNumberFormat="1"/>
    <xf numFmtId="0" fontId="12" fillId="0" borderId="0" xfId="0" applyFont="1"/>
    <xf numFmtId="0" fontId="12" fillId="0" borderId="0" xfId="0" pivotButton="1" applyFont="1"/>
    <xf numFmtId="166" fontId="12" fillId="0" borderId="0" xfId="0" pivotButton="1" applyNumberFormat="1" applyFont="1"/>
    <xf numFmtId="166" fontId="12" fillId="0" borderId="0" xfId="0" applyNumberFormat="1" applyFont="1"/>
    <xf numFmtId="14" fontId="12" fillId="0" borderId="0" xfId="0" applyNumberFormat="1" applyFont="1"/>
    <xf numFmtId="164" fontId="12" fillId="0" borderId="0" xfId="0" applyNumberFormat="1" applyFont="1"/>
    <xf numFmtId="14" fontId="12" fillId="0" borderId="0" xfId="0" applyNumberFormat="1" applyFont="1" applyAlignment="1">
      <alignment horizontal="center" vertical="center" wrapText="1"/>
    </xf>
    <xf numFmtId="0" fontId="12" fillId="0" borderId="0" xfId="0" applyFont="1" applyAlignment="1">
      <alignment horizontal="center" vertical="center" wrapText="1"/>
    </xf>
    <xf numFmtId="0" fontId="12" fillId="0" borderId="0" xfId="0" pivotButton="1" applyFont="1" applyAlignment="1">
      <alignment horizontal="center" vertical="center" wrapText="1"/>
    </xf>
    <xf numFmtId="166" fontId="12" fillId="0" borderId="0" xfId="0" applyNumberFormat="1" applyFont="1" applyAlignment="1">
      <alignment horizontal="center" vertical="center" wrapText="1"/>
    </xf>
    <xf numFmtId="0" fontId="13" fillId="7" borderId="0" xfId="0" applyFont="1" applyFill="1" applyAlignment="1">
      <alignment wrapText="1"/>
    </xf>
    <xf numFmtId="167" fontId="0" fillId="0" borderId="0" xfId="0" applyNumberFormat="1"/>
    <xf numFmtId="9" fontId="0" fillId="0" borderId="0" xfId="0" applyNumberFormat="1"/>
  </cellXfs>
  <cellStyles count="8">
    <cellStyle name="Comma" xfId="7" builtinId="3"/>
    <cellStyle name="Comma 2" xfId="4" xr:uid="{00000000-0005-0000-0000-000001000000}"/>
    <cellStyle name="Input" xfId="1" builtinId="20" customBuiltin="1"/>
    <cellStyle name="Normal" xfId="0" builtinId="0" customBuiltin="1"/>
    <cellStyle name="Normal 2" xfId="3" xr:uid="{00000000-0005-0000-0000-000005000000}"/>
    <cellStyle name="Output" xfId="2" builtinId="21" customBuiltin="1"/>
    <cellStyle name="Percent 2" xfId="5" xr:uid="{00000000-0005-0000-0000-000007000000}"/>
    <cellStyle name="Style 1" xfId="6" xr:uid="{00000000-0005-0000-0000-000008000000}"/>
  </cellStyles>
  <dxfs count="41">
    <dxf>
      <font>
        <b val="0"/>
        <i val="0"/>
        <strike val="0"/>
        <condense val="0"/>
        <extend val="0"/>
        <outline val="0"/>
        <shadow val="0"/>
        <u val="none"/>
        <vertAlign val="baseline"/>
        <sz val="12"/>
        <color theme="1"/>
        <name val="Arial"/>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9" formatCode="m/d/yyyy"/>
      <alignment horizontal="left" vertical="bottom" textRotation="0" wrapText="0" indent="0" justifyLastLine="0" shrinkToFit="0" readingOrder="0"/>
    </dxf>
    <dxf>
      <border outline="0">
        <bottom style="thin">
          <color indexed="64"/>
        </bottom>
      </border>
    </dxf>
    <dxf>
      <border outline="0">
        <top style="thin">
          <color indexed="64"/>
        </top>
      </border>
    </dxf>
    <dxf>
      <font>
        <b val="0"/>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9" tint="0.79998168889431442"/>
        </patternFill>
      </fill>
      <alignment horizontal="center" vertical="bottom" textRotation="0" wrapText="1" indent="0" justifyLastLine="0" shrinkToFit="0" readingOrder="0"/>
      <border diagonalUp="0" diagonalDown="0" outline="0">
        <left style="thin">
          <color indexed="64"/>
        </left>
        <right style="thin">
          <color indexed="64"/>
        </right>
        <top/>
        <bottom/>
      </border>
    </dxf>
    <dxf>
      <numFmt numFmtId="19" formatCode="m/d/yyyy"/>
    </dxf>
    <dxf>
      <numFmt numFmtId="19" formatCode="m/d/yyyy"/>
    </dxf>
    <dxf>
      <numFmt numFmtId="166" formatCode="&quot;$&quot;#,##0.00"/>
    </dxf>
    <dxf>
      <numFmt numFmtId="166" formatCode="&quot;$&quot;#,##0.00"/>
    </dxf>
    <dxf>
      <numFmt numFmtId="166" formatCode="&quot;$&quot;#,##0.00"/>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numFmt numFmtId="166" formatCode="&quot;$&quot;#,##0.00"/>
    </dxf>
    <dxf>
      <numFmt numFmtId="166" formatCode="&quot;$&quot;#,##0.00"/>
    </dxf>
    <dxf>
      <alignment wrapText="1"/>
    </dxf>
    <dxf>
      <alignment wrapText="1"/>
    </dxf>
  </dxfs>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[JenniferHolloway_Week2HW.xlsx]Payments!PivotTable2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Payments!$B$2:$B$3</c:f>
              <c:strCache>
                <c:ptCount val="1"/>
                <c:pt idx="0">
                  <c:v>B1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Payments!$A$4:$A$20</c:f>
              <c:strCache>
                <c:ptCount val="16"/>
                <c:pt idx="0">
                  <c:v>1/2/2012</c:v>
                </c:pt>
                <c:pt idx="1">
                  <c:v>1/5/2012</c:v>
                </c:pt>
                <c:pt idx="2">
                  <c:v>1/15/2012</c:v>
                </c:pt>
                <c:pt idx="3">
                  <c:v>1/16/2012</c:v>
                </c:pt>
                <c:pt idx="4">
                  <c:v>1/20/2012</c:v>
                </c:pt>
                <c:pt idx="5">
                  <c:v>1/21/2012</c:v>
                </c:pt>
                <c:pt idx="6">
                  <c:v>1/26/2012</c:v>
                </c:pt>
                <c:pt idx="7">
                  <c:v>1/31/2012</c:v>
                </c:pt>
                <c:pt idx="8">
                  <c:v>2/2/2012</c:v>
                </c:pt>
                <c:pt idx="9">
                  <c:v>2/5/2012</c:v>
                </c:pt>
                <c:pt idx="10">
                  <c:v>2/15/2012</c:v>
                </c:pt>
                <c:pt idx="11">
                  <c:v>2/20/2012</c:v>
                </c:pt>
                <c:pt idx="12">
                  <c:v>2/25/2012</c:v>
                </c:pt>
                <c:pt idx="13">
                  <c:v>2/26/2012</c:v>
                </c:pt>
                <c:pt idx="14">
                  <c:v>2/27/2012</c:v>
                </c:pt>
                <c:pt idx="15">
                  <c:v>2/29/2012</c:v>
                </c:pt>
              </c:strCache>
            </c:strRef>
          </c:cat>
          <c:val>
            <c:numRef>
              <c:f>Payments!$B$4:$B$20</c:f>
              <c:numCache>
                <c:formatCode>"$"#,##0.00</c:formatCode>
                <c:ptCount val="16"/>
                <c:pt idx="0">
                  <c:v>1000</c:v>
                </c:pt>
                <c:pt idx="1">
                  <c:v>340</c:v>
                </c:pt>
                <c:pt idx="2">
                  <c:v>80</c:v>
                </c:pt>
                <c:pt idx="3">
                  <c:v>1392</c:v>
                </c:pt>
                <c:pt idx="4">
                  <c:v>20000</c:v>
                </c:pt>
                <c:pt idx="6">
                  <c:v>6720</c:v>
                </c:pt>
                <c:pt idx="7">
                  <c:v>738.25</c:v>
                </c:pt>
                <c:pt idx="8">
                  <c:v>1000</c:v>
                </c:pt>
                <c:pt idx="9">
                  <c:v>340</c:v>
                </c:pt>
                <c:pt idx="10">
                  <c:v>80</c:v>
                </c:pt>
                <c:pt idx="11">
                  <c:v>20000</c:v>
                </c:pt>
                <c:pt idx="12">
                  <c:v>2200</c:v>
                </c:pt>
                <c:pt idx="13">
                  <c:v>6720</c:v>
                </c:pt>
                <c:pt idx="14">
                  <c:v>514</c:v>
                </c:pt>
                <c:pt idx="15">
                  <c:v>3770</c:v>
                </c:pt>
              </c:numCache>
            </c:numRef>
          </c:val>
          <c:smooth val="0"/>
          <c:extLst>
            <c:ext xmlns:c16="http://schemas.microsoft.com/office/drawing/2014/chart" uri="{C3380CC4-5D6E-409C-BE32-E72D297353CC}">
              <c16:uniqueId val="{00000000-8290-44B0-8E7D-24BE29E1B32E}"/>
            </c:ext>
          </c:extLst>
        </c:ser>
        <c:ser>
          <c:idx val="1"/>
          <c:order val="1"/>
          <c:tx>
            <c:strRef>
              <c:f>Payments!$C$2:$C$3</c:f>
              <c:strCache>
                <c:ptCount val="1"/>
                <c:pt idx="0">
                  <c:v>B2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Payments!$A$4:$A$20</c:f>
              <c:strCache>
                <c:ptCount val="16"/>
                <c:pt idx="0">
                  <c:v>1/2/2012</c:v>
                </c:pt>
                <c:pt idx="1">
                  <c:v>1/5/2012</c:v>
                </c:pt>
                <c:pt idx="2">
                  <c:v>1/15/2012</c:v>
                </c:pt>
                <c:pt idx="3">
                  <c:v>1/16/2012</c:v>
                </c:pt>
                <c:pt idx="4">
                  <c:v>1/20/2012</c:v>
                </c:pt>
                <c:pt idx="5">
                  <c:v>1/21/2012</c:v>
                </c:pt>
                <c:pt idx="6">
                  <c:v>1/26/2012</c:v>
                </c:pt>
                <c:pt idx="7">
                  <c:v>1/31/2012</c:v>
                </c:pt>
                <c:pt idx="8">
                  <c:v>2/2/2012</c:v>
                </c:pt>
                <c:pt idx="9">
                  <c:v>2/5/2012</c:v>
                </c:pt>
                <c:pt idx="10">
                  <c:v>2/15/2012</c:v>
                </c:pt>
                <c:pt idx="11">
                  <c:v>2/20/2012</c:v>
                </c:pt>
                <c:pt idx="12">
                  <c:v>2/25/2012</c:v>
                </c:pt>
                <c:pt idx="13">
                  <c:v>2/26/2012</c:v>
                </c:pt>
                <c:pt idx="14">
                  <c:v>2/27/2012</c:v>
                </c:pt>
                <c:pt idx="15">
                  <c:v>2/29/2012</c:v>
                </c:pt>
              </c:strCache>
            </c:strRef>
          </c:cat>
          <c:val>
            <c:numRef>
              <c:f>Payments!$C$4:$C$20</c:f>
              <c:numCache>
                <c:formatCode>_ * #,##0.00_ ;_ * \-#,##0.00_ ;_ * "-"??_ ;_ @_ </c:formatCode>
                <c:ptCount val="16"/>
                <c:pt idx="2">
                  <c:v>35</c:v>
                </c:pt>
                <c:pt idx="4">
                  <c:v>-20000</c:v>
                </c:pt>
                <c:pt idx="6">
                  <c:v>20000</c:v>
                </c:pt>
                <c:pt idx="10">
                  <c:v>35</c:v>
                </c:pt>
                <c:pt idx="11">
                  <c:v>-20000</c:v>
                </c:pt>
                <c:pt idx="13">
                  <c:v>20000</c:v>
                </c:pt>
              </c:numCache>
            </c:numRef>
          </c:val>
          <c:smooth val="0"/>
          <c:extLst>
            <c:ext xmlns:c16="http://schemas.microsoft.com/office/drawing/2014/chart" uri="{C3380CC4-5D6E-409C-BE32-E72D297353CC}">
              <c16:uniqueId val="{00000002-8290-44B0-8E7D-24BE29E1B32E}"/>
            </c:ext>
          </c:extLst>
        </c:ser>
        <c:ser>
          <c:idx val="2"/>
          <c:order val="2"/>
          <c:tx>
            <c:strRef>
              <c:f>Payments!$D$2:$D$3</c:f>
              <c:strCache>
                <c:ptCount val="1"/>
                <c:pt idx="0">
                  <c:v>PC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Payments!$A$4:$A$20</c:f>
              <c:strCache>
                <c:ptCount val="16"/>
                <c:pt idx="0">
                  <c:v>1/2/2012</c:v>
                </c:pt>
                <c:pt idx="1">
                  <c:v>1/5/2012</c:v>
                </c:pt>
                <c:pt idx="2">
                  <c:v>1/15/2012</c:v>
                </c:pt>
                <c:pt idx="3">
                  <c:v>1/16/2012</c:v>
                </c:pt>
                <c:pt idx="4">
                  <c:v>1/20/2012</c:v>
                </c:pt>
                <c:pt idx="5">
                  <c:v>1/21/2012</c:v>
                </c:pt>
                <c:pt idx="6">
                  <c:v>1/26/2012</c:v>
                </c:pt>
                <c:pt idx="7">
                  <c:v>1/31/2012</c:v>
                </c:pt>
                <c:pt idx="8">
                  <c:v>2/2/2012</c:v>
                </c:pt>
                <c:pt idx="9">
                  <c:v>2/5/2012</c:v>
                </c:pt>
                <c:pt idx="10">
                  <c:v>2/15/2012</c:v>
                </c:pt>
                <c:pt idx="11">
                  <c:v>2/20/2012</c:v>
                </c:pt>
                <c:pt idx="12">
                  <c:v>2/25/2012</c:v>
                </c:pt>
                <c:pt idx="13">
                  <c:v>2/26/2012</c:v>
                </c:pt>
                <c:pt idx="14">
                  <c:v>2/27/2012</c:v>
                </c:pt>
                <c:pt idx="15">
                  <c:v>2/29/2012</c:v>
                </c:pt>
              </c:strCache>
            </c:strRef>
          </c:cat>
          <c:val>
            <c:numRef>
              <c:f>Payments!$D$4:$D$20</c:f>
              <c:numCache>
                <c:formatCode>_ * #,##0.00_ ;_ * \-#,##0.00_ ;_ * "-"??_ ;_ @_ </c:formatCode>
                <c:ptCount val="16"/>
                <c:pt idx="3">
                  <c:v>105</c:v>
                </c:pt>
                <c:pt idx="5">
                  <c:v>61</c:v>
                </c:pt>
                <c:pt idx="7">
                  <c:v>-170</c:v>
                </c:pt>
                <c:pt idx="12">
                  <c:v>75</c:v>
                </c:pt>
                <c:pt idx="15">
                  <c:v>-70</c:v>
                </c:pt>
              </c:numCache>
            </c:numRef>
          </c:val>
          <c:smooth val="0"/>
          <c:extLst>
            <c:ext xmlns:c16="http://schemas.microsoft.com/office/drawing/2014/chart" uri="{C3380CC4-5D6E-409C-BE32-E72D297353CC}">
              <c16:uniqueId val="{00000004-8290-44B0-8E7D-24BE29E1B32E}"/>
            </c:ext>
          </c:extLst>
        </c:ser>
        <c:dLbls>
          <c:showLegendKey val="0"/>
          <c:showVal val="0"/>
          <c:showCatName val="0"/>
          <c:showSerName val="0"/>
          <c:showPercent val="0"/>
          <c:showBubbleSize val="0"/>
        </c:dLbls>
        <c:marker val="1"/>
        <c:smooth val="0"/>
        <c:axId val="2004805639"/>
        <c:axId val="2004807687"/>
      </c:lineChart>
      <c:catAx>
        <c:axId val="2004805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07687"/>
        <c:crosses val="autoZero"/>
        <c:auto val="1"/>
        <c:lblAlgn val="ctr"/>
        <c:lblOffset val="100"/>
        <c:noMultiLvlLbl val="0"/>
      </c:catAx>
      <c:valAx>
        <c:axId val="2004807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05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'Credit Card Debt'!$A$4:$A$8</c:f>
              <c:strCache>
                <c:ptCount val="5"/>
                <c:pt idx="0">
                  <c:v>Discover</c:v>
                </c:pt>
                <c:pt idx="1">
                  <c:v>Capital One</c:v>
                </c:pt>
                <c:pt idx="2">
                  <c:v>Citi Card</c:v>
                </c:pt>
                <c:pt idx="3">
                  <c:v>Target</c:v>
                </c:pt>
                <c:pt idx="4">
                  <c:v>Wal-Mart</c:v>
                </c:pt>
              </c:strCache>
            </c:strRef>
          </c:cat>
          <c:val>
            <c:numRef>
              <c:f>'Credit Card Debt'!$G$4:$G$8</c:f>
              <c:numCache>
                <c:formatCode>"$"#,##0</c:formatCode>
                <c:ptCount val="5"/>
                <c:pt idx="0">
                  <c:v>806.66666666666663</c:v>
                </c:pt>
                <c:pt idx="1">
                  <c:v>187.5</c:v>
                </c:pt>
                <c:pt idx="2">
                  <c:v>412.75</c:v>
                </c:pt>
                <c:pt idx="3">
                  <c:v>575</c:v>
                </c:pt>
                <c:pt idx="4">
                  <c:v>325</c:v>
                </c:pt>
              </c:numCache>
            </c:numRef>
          </c:val>
          <c:extLst>
            <c:ext xmlns:c16="http://schemas.microsoft.com/office/drawing/2014/chart" uri="{C3380CC4-5D6E-409C-BE32-E72D297353CC}">
              <c16:uniqueId val="{00000000-B689-4733-A044-55291711F9A1}"/>
            </c:ext>
          </c:extLst>
        </c:ser>
        <c:dLbls>
          <c:showLegendKey val="0"/>
          <c:showVal val="0"/>
          <c:showCatName val="0"/>
          <c:showSerName val="0"/>
          <c:showPercent val="0"/>
          <c:showBubbleSize val="0"/>
        </c:dLbls>
        <c:gapWidth val="219"/>
        <c:overlap val="-27"/>
        <c:axId val="1303005703"/>
        <c:axId val="1303007751"/>
      </c:barChart>
      <c:catAx>
        <c:axId val="1303005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07751"/>
        <c:crosses val="autoZero"/>
        <c:auto val="1"/>
        <c:lblAlgn val="ctr"/>
        <c:lblOffset val="100"/>
        <c:noMultiLvlLbl val="0"/>
      </c:catAx>
      <c:valAx>
        <c:axId val="1303007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05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'Credit Card Debt'!$A$4:$A$8</c:f>
              <c:strCache>
                <c:ptCount val="5"/>
                <c:pt idx="0">
                  <c:v>Discover</c:v>
                </c:pt>
                <c:pt idx="1">
                  <c:v>Capital One</c:v>
                </c:pt>
                <c:pt idx="2">
                  <c:v>Citi Card</c:v>
                </c:pt>
                <c:pt idx="3">
                  <c:v>Target</c:v>
                </c:pt>
                <c:pt idx="4">
                  <c:v>Wal-Mart</c:v>
                </c:pt>
              </c:strCache>
            </c:strRef>
          </c:cat>
          <c:val>
            <c:numRef>
              <c:f>'Credit Card Debt'!$B$4:$B$8</c:f>
              <c:numCache>
                <c:formatCode>"$"#,##0</c:formatCode>
                <c:ptCount val="5"/>
                <c:pt idx="0">
                  <c:v>2000</c:v>
                </c:pt>
                <c:pt idx="1">
                  <c:v>450</c:v>
                </c:pt>
                <c:pt idx="2">
                  <c:v>975</c:v>
                </c:pt>
                <c:pt idx="3">
                  <c:v>1500</c:v>
                </c:pt>
                <c:pt idx="4">
                  <c:v>780</c:v>
                </c:pt>
              </c:numCache>
            </c:numRef>
          </c:val>
          <c:extLst>
            <c:ext xmlns:c16="http://schemas.microsoft.com/office/drawing/2014/chart" uri="{C3380CC4-5D6E-409C-BE32-E72D297353CC}">
              <c16:uniqueId val="{00000000-AB01-40C2-B3F3-B248D5A969B6}"/>
            </c:ext>
          </c:extLst>
        </c:ser>
        <c:ser>
          <c:idx val="1"/>
          <c:order val="1"/>
          <c:spPr>
            <a:solidFill>
              <a:schemeClr val="accent2"/>
            </a:solidFill>
            <a:ln>
              <a:noFill/>
            </a:ln>
            <a:effectLst/>
          </c:spPr>
          <c:invertIfNegative val="0"/>
          <c:cat>
            <c:strRef>
              <c:f>'Credit Card Debt'!$A$4:$A$8</c:f>
              <c:strCache>
                <c:ptCount val="5"/>
                <c:pt idx="0">
                  <c:v>Discover</c:v>
                </c:pt>
                <c:pt idx="1">
                  <c:v>Capital One</c:v>
                </c:pt>
                <c:pt idx="2">
                  <c:v>Citi Card</c:v>
                </c:pt>
                <c:pt idx="3">
                  <c:v>Target</c:v>
                </c:pt>
                <c:pt idx="4">
                  <c:v>Wal-Mart</c:v>
                </c:pt>
              </c:strCache>
            </c:strRef>
          </c:cat>
          <c:val>
            <c:numRef>
              <c:f>'Credit Card Debt'!$G$4:$G$8</c:f>
              <c:numCache>
                <c:formatCode>"$"#,##0</c:formatCode>
                <c:ptCount val="5"/>
                <c:pt idx="0">
                  <c:v>806.66666666666663</c:v>
                </c:pt>
                <c:pt idx="1">
                  <c:v>187.5</c:v>
                </c:pt>
                <c:pt idx="2">
                  <c:v>412.75</c:v>
                </c:pt>
                <c:pt idx="3">
                  <c:v>575</c:v>
                </c:pt>
                <c:pt idx="4">
                  <c:v>325</c:v>
                </c:pt>
              </c:numCache>
            </c:numRef>
          </c:val>
          <c:extLst>
            <c:ext xmlns:c16="http://schemas.microsoft.com/office/drawing/2014/chart" uri="{C3380CC4-5D6E-409C-BE32-E72D297353CC}">
              <c16:uniqueId val="{00000002-AB01-40C2-B3F3-B248D5A969B6}"/>
            </c:ext>
          </c:extLst>
        </c:ser>
        <c:dLbls>
          <c:showLegendKey val="0"/>
          <c:showVal val="0"/>
          <c:showCatName val="0"/>
          <c:showSerName val="0"/>
          <c:showPercent val="0"/>
          <c:showBubbleSize val="0"/>
        </c:dLbls>
        <c:gapWidth val="219"/>
        <c:overlap val="-27"/>
        <c:axId val="1697769991"/>
        <c:axId val="1329082887"/>
      </c:barChart>
      <c:catAx>
        <c:axId val="1697769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082887"/>
        <c:crosses val="autoZero"/>
        <c:auto val="1"/>
        <c:lblAlgn val="ctr"/>
        <c:lblOffset val="100"/>
        <c:noMultiLvlLbl val="0"/>
      </c:catAx>
      <c:valAx>
        <c:axId val="1329082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769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95250</xdr:rowOff>
    </xdr:from>
    <xdr:to>
      <xdr:col>4</xdr:col>
      <xdr:colOff>114300</xdr:colOff>
      <xdr:row>38</xdr:row>
      <xdr:rowOff>85725</xdr:rowOff>
    </xdr:to>
    <xdr:graphicFrame macro="">
      <xdr:nvGraphicFramePr>
        <xdr:cNvPr id="2" name="Chart 1">
          <a:extLst>
            <a:ext uri="{FF2B5EF4-FFF2-40B4-BE49-F238E27FC236}">
              <a16:creationId xmlns:a16="http://schemas.microsoft.com/office/drawing/2014/main" id="{DCB11AC0-888E-29B8-9A89-469A32633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152400</xdr:rowOff>
    </xdr:from>
    <xdr:to>
      <xdr:col>5</xdr:col>
      <xdr:colOff>942975</xdr:colOff>
      <xdr:row>27</xdr:row>
      <xdr:rowOff>142875</xdr:rowOff>
    </xdr:to>
    <xdr:graphicFrame macro="">
      <xdr:nvGraphicFramePr>
        <xdr:cNvPr id="4" name="Chart 3">
          <a:extLst>
            <a:ext uri="{FF2B5EF4-FFF2-40B4-BE49-F238E27FC236}">
              <a16:creationId xmlns:a16="http://schemas.microsoft.com/office/drawing/2014/main" id="{6D5EC906-A945-DF94-2D84-B000C2718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981075</xdr:colOff>
      <xdr:row>11</xdr:row>
      <xdr:rowOff>19050</xdr:rowOff>
    </xdr:from>
    <xdr:to>
      <xdr:col>14</xdr:col>
      <xdr:colOff>238125</xdr:colOff>
      <xdr:row>28</xdr:row>
      <xdr:rowOff>9525</xdr:rowOff>
    </xdr:to>
    <xdr:graphicFrame macro="">
      <xdr:nvGraphicFramePr>
        <xdr:cNvPr id="5" name="Chart 4">
          <a:extLst>
            <a:ext uri="{FF2B5EF4-FFF2-40B4-BE49-F238E27FC236}">
              <a16:creationId xmlns:a16="http://schemas.microsoft.com/office/drawing/2014/main" id="{27C050FD-2B70-7B20-133A-FCE4CC60E565}"/>
            </a:ext>
            <a:ext uri="{147F2762-F138-4A5C-976F-8EAC2B608ADB}">
              <a16:predDERef xmlns:a16="http://schemas.microsoft.com/office/drawing/2014/main" pred="{6D5EC906-A945-DF94-2D84-B000C2718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81.820405092592" createdVersion="8" refreshedVersion="8" minRefreshableVersion="3" recordCount="208" xr:uid="{66AF239B-1A00-4D48-BFD3-71533BA93038}">
  <cacheSource type="worksheet">
    <worksheetSource name="ExpTable"/>
  </cacheSource>
  <cacheFields count="9">
    <cacheField name="Document Date" numFmtId="14">
      <sharedItems containsSemiMixedTypes="0" containsNonDate="0" containsDate="1" containsString="0" minDate="2011-02-14T00:00:00" maxDate="2012-03-01T00:00:00" count="108">
        <d v="2011-02-14T00:00:00"/>
        <d v="2011-03-01T00:00:00"/>
        <d v="2011-03-02T00:00:00"/>
        <d v="2011-03-05T00:00:00"/>
        <d v="2011-03-15T00:00:00"/>
        <d v="2011-03-18T00:00:00"/>
        <d v="2011-03-20T00:00:00"/>
        <d v="2011-03-26T00:00:00"/>
        <d v="2011-03-31T00:00:00"/>
        <d v="2011-04-01T00:00:00"/>
        <d v="2011-04-05T00:00:00"/>
        <d v="2011-04-12T00:00:00"/>
        <d v="2011-04-15T00:00:00"/>
        <d v="2011-04-20T00:00:00"/>
        <d v="2011-04-25T00:00:00"/>
        <d v="2011-04-26T00:00:00"/>
        <d v="2011-04-29T00:00:00"/>
        <d v="2011-04-30T00:00:00"/>
        <d v="2011-05-01T00:00:00"/>
        <d v="2011-05-05T00:00:00"/>
        <d v="2011-05-07T00:00:00"/>
        <d v="2011-05-15T00:00:00"/>
        <d v="2011-05-20T00:00:00"/>
        <d v="2011-05-26T00:00:00"/>
        <d v="2011-05-29T00:00:00"/>
        <d v="2011-05-31T00:00:00"/>
        <d v="2011-06-01T00:00:00"/>
        <d v="2011-06-05T00:00:00"/>
        <d v="2011-06-15T00:00:00"/>
        <d v="2011-06-20T00:00:00"/>
        <d v="2011-06-22T00:00:00"/>
        <d v="2011-06-25T00:00:00"/>
        <d v="2011-06-26T00:00:00"/>
        <d v="2011-06-30T00:00:00"/>
        <d v="2011-07-01T00:00:00"/>
        <d v="2011-07-02T00:00:00"/>
        <d v="2011-07-05T00:00:00"/>
        <d v="2011-07-15T00:00:00"/>
        <d v="2011-07-16T00:00:00"/>
        <d v="2011-07-17T00:00:00"/>
        <d v="2011-07-20T00:00:00"/>
        <d v="2011-07-25T00:00:00"/>
        <d v="2011-07-26T00:00:00"/>
        <d v="2011-07-31T00:00:00"/>
        <d v="2011-08-01T00:00:00"/>
        <d v="2011-08-05T00:00:00"/>
        <d v="2011-08-09T00:00:00"/>
        <d v="2011-08-13T00:00:00"/>
        <d v="2011-08-15T00:00:00"/>
        <d v="2011-08-20T00:00:00"/>
        <d v="2011-08-21T00:00:00"/>
        <d v="2011-08-25T00:00:00"/>
        <d v="2011-08-26T00:00:00"/>
        <d v="2011-08-27T00:00:00"/>
        <d v="2011-08-31T00:00:00"/>
        <d v="2011-09-01T00:00:00"/>
        <d v="2011-09-05T00:00:00"/>
        <d v="2011-09-13T00:00:00"/>
        <d v="2011-09-15T00:00:00"/>
        <d v="2011-09-18T00:00:00"/>
        <d v="2011-09-20T00:00:00"/>
        <d v="2011-09-21T00:00:00"/>
        <d v="2011-09-24T00:00:00"/>
        <d v="2011-09-26T00:00:00"/>
        <d v="2011-09-30T00:00:00"/>
        <d v="2011-10-01T00:00:00"/>
        <d v="2011-10-04T00:00:00"/>
        <d v="2011-10-05T00:00:00"/>
        <d v="2011-10-15T00:00:00"/>
        <d v="2011-10-20T00:00:00"/>
        <d v="2011-10-22T00:00:00"/>
        <d v="2011-10-25T00:00:00"/>
        <d v="2011-10-26T00:00:00"/>
        <d v="2011-10-28T00:00:00"/>
        <d v="2011-10-31T00:00:00"/>
        <d v="2011-11-01T00:00:00"/>
        <d v="2011-11-05T00:00:00"/>
        <d v="2011-11-15T00:00:00"/>
        <d v="2011-11-19T00:00:00"/>
        <d v="2011-11-20T00:00:00"/>
        <d v="2011-11-26T00:00:00"/>
        <d v="2011-11-30T00:00:00"/>
        <d v="2011-12-01T00:00:00"/>
        <d v="2011-12-05T00:00:00"/>
        <d v="2011-12-06T00:00:00"/>
        <d v="2011-12-15T00:00:00"/>
        <d v="2011-12-17T00:00:00"/>
        <d v="2011-12-20T00:00:00"/>
        <d v="2011-12-22T00:00:00"/>
        <d v="2011-12-25T00:00:00"/>
        <d v="2011-12-26T00:00:00"/>
        <d v="2011-12-31T00:00:00"/>
        <d v="2012-01-01T00:00:00"/>
        <d v="2012-01-05T00:00:00"/>
        <d v="2012-01-15T00:00:00"/>
        <d v="2012-01-16T00:00:00"/>
        <d v="2012-01-20T00:00:00"/>
        <d v="2012-01-26T00:00:00"/>
        <d v="2012-01-28T00:00:00"/>
        <d v="2012-01-31T00:00:00"/>
        <d v="2012-02-01T00:00:00"/>
        <d v="2012-02-05T00:00:00"/>
        <d v="2012-02-11T00:00:00"/>
        <d v="2012-02-15T00:00:00"/>
        <d v="2012-02-20T00:00:00"/>
        <d v="2012-02-25T00:00:00"/>
        <d v="2012-02-26T00:00:00"/>
        <d v="2012-02-29T00:00:00"/>
      </sharedItems>
    </cacheField>
    <cacheField name="Supplier" numFmtId="0">
      <sharedItems count="24">
        <s v="XY Solutions"/>
        <s v="IS Communications"/>
        <s v="Newscorp"/>
        <s v="EAG Brokers"/>
        <s v="Capital Bank"/>
        <s v="IAS Accountants"/>
        <s v="Interflora"/>
        <s v="QQ International"/>
        <s v="Example (Pty) Ltd"/>
        <s v="HP Finance"/>
        <s v="PR Properties"/>
        <s v="Inland Revenue"/>
        <s v="Furniture City"/>
        <s v="GF Supplies"/>
        <s v="Training Inc"/>
        <s v="City Lodge"/>
        <s v="Waltons"/>
        <s v="SA Airlines"/>
        <s v="ACC Institute"/>
        <s v="XY Traders"/>
        <s v="JSE Brokers"/>
        <s v="Municipality"/>
        <s v="QA Attorneys"/>
        <s v="DF Equipment"/>
      </sharedItems>
    </cacheField>
    <cacheField name="Reference" numFmtId="0">
      <sharedItems/>
    </cacheField>
    <cacheField name="Description" numFmtId="0">
      <sharedItems/>
    </cacheField>
    <cacheField name="Tax Inclusive Amount" numFmtId="164">
      <sharedItems containsSemiMixedTypes="0" containsString="0" containsNumber="1" minValue="-20000" maxValue="33000"/>
    </cacheField>
    <cacheField name="Tax Code" numFmtId="0">
      <sharedItems/>
    </cacheField>
    <cacheField name="Bank Code" numFmtId="0">
      <sharedItems count="3">
        <s v="B1"/>
        <s v="B2"/>
        <s v="PC"/>
      </sharedItems>
    </cacheField>
    <cacheField name="Account Code" numFmtId="0">
      <sharedItems/>
    </cacheField>
    <cacheField name="Payment Date" numFmtId="14">
      <sharedItems containsNonDate="0" containsDate="1" containsString="0" containsBlank="1" minDate="2011-03-02T00:00:00" maxDate="2012-03-01T00:00:00" count="110">
        <d v="2011-03-02T00:00:00"/>
        <d v="2011-03-31T00:00:00"/>
        <d v="2011-04-01T00:00:00"/>
        <d v="2011-03-05T00:00:00"/>
        <d v="2011-03-15T00:00:00"/>
        <d v="2011-04-02T00:00:00"/>
        <d v="2011-03-18T00:00:00"/>
        <d v="2011-03-20T00:00:00"/>
        <d v="2011-03-26T00:00:00"/>
        <d v="2011-05-01T00:00:00"/>
        <d v="2011-04-05T00:00:00"/>
        <d v="2011-04-12T00:00:00"/>
        <d v="2011-04-15T00:00:00"/>
        <d v="2011-05-03T00:00:00"/>
        <d v="2011-04-20T00:00:00"/>
        <d v="2011-04-25T00:00:00"/>
        <d v="2011-04-26T00:00:00"/>
        <d v="2011-05-26T00:00:00"/>
        <d v="2011-05-29T00:00:00"/>
        <d v="2011-04-30T00:00:00"/>
        <d v="2011-05-31T00:00:00"/>
        <d v="2011-05-05T00:00:00"/>
        <d v="2011-05-07T00:00:00"/>
        <d v="2011-06-06T00:00:00"/>
        <d v="2011-05-15T00:00:00"/>
        <d v="2011-06-02T00:00:00"/>
        <d v="2011-05-20T00:00:00"/>
        <d v="2011-07-01T00:00:00"/>
        <d v="2011-06-05T00:00:00"/>
        <d v="2011-06-15T00:00:00"/>
        <d v="2011-07-03T00:00:00"/>
        <d v="2011-06-20T00:00:00"/>
        <d v="2011-06-22T00:00:00"/>
        <d v="2011-06-25T00:00:00"/>
        <d v="2011-06-26T00:00:00"/>
        <d v="2011-06-30T00:00:00"/>
        <d v="2011-07-31T00:00:00"/>
        <d v="2011-08-01T00:00:00"/>
        <d v="2011-07-05T00:00:00"/>
        <d v="2011-07-15T00:00:00"/>
        <d v="2011-08-02T00:00:00"/>
        <d v="2011-07-16T00:00:00"/>
        <d v="2011-08-16T00:00:00"/>
        <d v="2011-07-20T00:00:00"/>
        <d v="2011-08-24T00:00:00"/>
        <d v="2011-07-26T00:00:00"/>
        <d v="2011-08-31T00:00:00"/>
        <d v="2011-08-05T00:00:00"/>
        <d v="2011-08-09T00:00:00"/>
        <d v="2011-09-12T00:00:00"/>
        <d v="2011-08-15T00:00:00"/>
        <d v="2011-09-02T00:00:00"/>
        <d v="2011-08-20T00:00:00"/>
        <d v="2011-08-21T00:00:00"/>
        <d v="2011-08-25T00:00:00"/>
        <d v="2011-08-26T00:00:00"/>
        <d v="2011-09-26T00:00:00"/>
        <d v="2011-10-01T00:00:00"/>
        <d v="2011-09-05T00:00:00"/>
        <d v="2011-10-13T00:00:00"/>
        <d v="2011-09-15T00:00:00"/>
        <d v="2011-10-03T00:00:00"/>
        <d v="2011-09-18T00:00:00"/>
        <d v="2011-09-20T00:00:00"/>
        <d v="2011-09-21T00:00:00"/>
        <d v="2011-10-24T00:00:00"/>
        <d v="2011-09-30T00:00:00"/>
        <d v="2011-10-31T00:00:00"/>
        <d v="2011-11-03T00:00:00"/>
        <d v="2011-10-04T00:00:00"/>
        <d v="2011-10-05T00:00:00"/>
        <d v="2011-10-15T00:00:00"/>
        <d v="2011-11-02T00:00:00"/>
        <d v="2011-10-20T00:00:00"/>
        <d v="2011-11-21T00:00:00"/>
        <d v="2011-10-25T00:00:00"/>
        <d v="2011-10-26T00:00:00"/>
        <d v="2011-10-28T00:00:00"/>
        <d v="2011-12-01T00:00:00"/>
        <d v="2011-11-05T00:00:00"/>
        <d v="2011-12-05T00:00:00"/>
        <d v="2011-11-15T00:00:00"/>
        <d v="2011-12-03T00:00:00"/>
        <d v="2011-11-19T00:00:00"/>
        <d v="2011-11-20T00:00:00"/>
        <d v="2011-11-26T00:00:00"/>
        <d v="2011-11-30T00:00:00"/>
        <d v="2011-12-31T00:00:00"/>
        <d v="2011-12-06T00:00:00"/>
        <d v="2011-12-15T00:00:00"/>
        <d v="2012-01-02T00:00:00"/>
        <d v="2012-01-16T00:00:00"/>
        <d v="2011-12-20T00:00:00"/>
        <d v="2012-01-21T00:00:00"/>
        <d v="2011-12-25T00:00:00"/>
        <d v="2011-12-26T00:00:00"/>
        <d v="2012-01-31T00:00:00"/>
        <d v="2012-01-05T00:00:00"/>
        <d v="2012-01-15T00:00:00"/>
        <d v="2012-02-02T00:00:00"/>
        <d v="2012-01-20T00:00:00"/>
        <d v="2012-01-26T00:00:00"/>
        <d v="2012-02-27T00:00:00"/>
        <m/>
        <d v="2012-02-05T00:00:00"/>
        <d v="2012-02-15T00:00:00"/>
        <d v="2012-02-20T00:00:00"/>
        <d v="2012-02-25T00:00:00"/>
        <d v="2012-02-26T00:00:00"/>
        <d v="2012-02-29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s v="S77782"/>
    <s v="Opening Balance"/>
    <n v="5100"/>
    <s v="A"/>
    <x v="0"/>
    <s v="BS-500"/>
    <x v="0"/>
  </r>
  <r>
    <x v="1"/>
    <x v="1"/>
    <s v="Invoice EXP22"/>
    <s v="Internet Service Provider"/>
    <n v="179"/>
    <s v="A"/>
    <x v="0"/>
    <s v="IS-380"/>
    <x v="1"/>
  </r>
  <r>
    <x v="2"/>
    <x v="2"/>
    <s v="I381119"/>
    <s v="Subscriptions"/>
    <n v="478"/>
    <s v="A"/>
    <x v="0"/>
    <s v="IS-375"/>
    <x v="2"/>
  </r>
  <r>
    <x v="3"/>
    <x v="3"/>
    <s v="Debit Order"/>
    <s v="Insurance"/>
    <n v="340"/>
    <s v="A"/>
    <x v="0"/>
    <s v="IS-340"/>
    <x v="3"/>
  </r>
  <r>
    <x v="4"/>
    <x v="4"/>
    <s v="Bank Statement"/>
    <s v="Service Fees"/>
    <n v="50"/>
    <s v="A"/>
    <x v="0"/>
    <s v="IS-315"/>
    <x v="4"/>
  </r>
  <r>
    <x v="4"/>
    <x v="4"/>
    <s v="Bank Statement"/>
    <s v="Service Fees"/>
    <n v="35"/>
    <s v="A"/>
    <x v="1"/>
    <s v="IS-315"/>
    <x v="4"/>
  </r>
  <r>
    <x v="4"/>
    <x v="5"/>
    <s v="Invoice"/>
    <s v="Bookkeeping"/>
    <n v="1000"/>
    <s v="A"/>
    <x v="0"/>
    <s v="IS-305"/>
    <x v="5"/>
  </r>
  <r>
    <x v="4"/>
    <x v="6"/>
    <s v="Cash"/>
    <s v="Flowers"/>
    <n v="90"/>
    <s v="A"/>
    <x v="2"/>
    <s v="IS-345"/>
    <x v="4"/>
  </r>
  <r>
    <x v="5"/>
    <x v="7"/>
    <s v="TR6998"/>
    <s v="Parking"/>
    <n v="200"/>
    <s v="A"/>
    <x v="0"/>
    <s v="IS-390"/>
    <x v="6"/>
  </r>
  <r>
    <x v="6"/>
    <x v="8"/>
    <s v="Transfer"/>
    <s v="Inter Account Transfer"/>
    <n v="-15000"/>
    <s v="E"/>
    <x v="1"/>
    <s v="BS-399"/>
    <x v="7"/>
  </r>
  <r>
    <x v="6"/>
    <x v="8"/>
    <s v="Transfer"/>
    <s v="Inter Account Transfer"/>
    <n v="15000"/>
    <s v="E"/>
    <x v="0"/>
    <s v="BS-399"/>
    <x v="7"/>
  </r>
  <r>
    <x v="7"/>
    <x v="8"/>
    <s v="Payroll"/>
    <s v="Salaries"/>
    <n v="33000"/>
    <s v="E"/>
    <x v="1"/>
    <s v="IS-365"/>
    <x v="8"/>
  </r>
  <r>
    <x v="7"/>
    <x v="9"/>
    <s v="Debit Order"/>
    <s v="Capital repayment"/>
    <n v="220"/>
    <s v="E"/>
    <x v="0"/>
    <s v="BS-700"/>
    <x v="8"/>
  </r>
  <r>
    <x v="7"/>
    <x v="9"/>
    <s v="Debit Order"/>
    <s v="Interest paid"/>
    <n v="100"/>
    <s v="E"/>
    <x v="0"/>
    <s v="IS-500"/>
    <x v="8"/>
  </r>
  <r>
    <x v="7"/>
    <x v="10"/>
    <s v="Debit Order"/>
    <s v="Rent"/>
    <n v="6400"/>
    <s v="A"/>
    <x v="0"/>
    <s v="IS-350"/>
    <x v="8"/>
  </r>
  <r>
    <x v="8"/>
    <x v="8"/>
    <s v="Bank Statement"/>
    <s v="Petty Cash Reimbursement"/>
    <n v="100"/>
    <s v="E"/>
    <x v="0"/>
    <s v="BS-399"/>
    <x v="1"/>
  </r>
  <r>
    <x v="8"/>
    <x v="8"/>
    <s v="Bank Statement"/>
    <s v="Petty Cash Reimbursement"/>
    <n v="-100"/>
    <s v="E"/>
    <x v="2"/>
    <s v="BS-399"/>
    <x v="1"/>
  </r>
  <r>
    <x v="9"/>
    <x v="1"/>
    <s v="Invoice EXP23"/>
    <s v="Internet Service Provider"/>
    <n v="179"/>
    <s v="A"/>
    <x v="0"/>
    <s v="IS-380"/>
    <x v="9"/>
  </r>
  <r>
    <x v="10"/>
    <x v="3"/>
    <s v="Debit Order"/>
    <s v="Insurance"/>
    <n v="340"/>
    <s v="A"/>
    <x v="0"/>
    <s v="IS-340"/>
    <x v="10"/>
  </r>
  <r>
    <x v="11"/>
    <x v="6"/>
    <s v="Cash"/>
    <s v="Flowers"/>
    <n v="87"/>
    <s v="A"/>
    <x v="2"/>
    <s v="IS-345"/>
    <x v="11"/>
  </r>
  <r>
    <x v="12"/>
    <x v="4"/>
    <s v="Bank Statement"/>
    <s v="Service Fees"/>
    <n v="80"/>
    <s v="A"/>
    <x v="0"/>
    <s v="IS-315"/>
    <x v="12"/>
  </r>
  <r>
    <x v="12"/>
    <x v="4"/>
    <s v="Bank Statement"/>
    <s v="Service Fees"/>
    <n v="35"/>
    <s v="A"/>
    <x v="1"/>
    <s v="IS-315"/>
    <x v="12"/>
  </r>
  <r>
    <x v="12"/>
    <x v="5"/>
    <s v="Invoice"/>
    <s v="Bookkeeping"/>
    <n v="1000"/>
    <s v="A"/>
    <x v="0"/>
    <s v="IS-305"/>
    <x v="13"/>
  </r>
  <r>
    <x v="13"/>
    <x v="8"/>
    <s v="Transfer"/>
    <s v="Inter Account Transfer"/>
    <n v="-20000"/>
    <s v="E"/>
    <x v="1"/>
    <s v="BS-399"/>
    <x v="14"/>
  </r>
  <r>
    <x v="13"/>
    <x v="8"/>
    <s v="Transfer"/>
    <s v="Inter Account Transfer"/>
    <n v="20000"/>
    <s v="E"/>
    <x v="0"/>
    <s v="BS-399"/>
    <x v="14"/>
  </r>
  <r>
    <x v="14"/>
    <x v="11"/>
    <s v="Return"/>
    <s v="Sales Tax"/>
    <n v="1300"/>
    <s v="E"/>
    <x v="0"/>
    <s v="BS-600"/>
    <x v="15"/>
  </r>
  <r>
    <x v="15"/>
    <x v="8"/>
    <s v="Payroll"/>
    <s v="Salaries"/>
    <n v="20000"/>
    <s v="E"/>
    <x v="1"/>
    <s v="IS-365"/>
    <x v="16"/>
  </r>
  <r>
    <x v="15"/>
    <x v="12"/>
    <s v="Invoice"/>
    <s v="Furniture"/>
    <n v="3000"/>
    <s v="A"/>
    <x v="0"/>
    <s v="BS-100"/>
    <x v="17"/>
  </r>
  <r>
    <x v="15"/>
    <x v="9"/>
    <s v="Debit Order"/>
    <s v="Capital repayment"/>
    <n v="220"/>
    <s v="E"/>
    <x v="0"/>
    <s v="BS-700"/>
    <x v="16"/>
  </r>
  <r>
    <x v="15"/>
    <x v="9"/>
    <s v="Debit Order"/>
    <s v="Interest paid"/>
    <n v="100"/>
    <s v="E"/>
    <x v="0"/>
    <s v="IS-500"/>
    <x v="16"/>
  </r>
  <r>
    <x v="15"/>
    <x v="10"/>
    <s v="Debit Order"/>
    <s v="Rent"/>
    <n v="6400"/>
    <s v="A"/>
    <x v="0"/>
    <s v="IS-350"/>
    <x v="16"/>
  </r>
  <r>
    <x v="16"/>
    <x v="13"/>
    <s v="IN1179"/>
    <s v="Consumables"/>
    <n v="41"/>
    <s v="A"/>
    <x v="2"/>
    <s v="IS-325"/>
    <x v="18"/>
  </r>
  <r>
    <x v="17"/>
    <x v="8"/>
    <s v="Bank Statement"/>
    <s v="Petty Cash Reimbursement"/>
    <n v="100"/>
    <s v="E"/>
    <x v="0"/>
    <s v="BS-399"/>
    <x v="19"/>
  </r>
  <r>
    <x v="17"/>
    <x v="8"/>
    <s v="Bank Statement"/>
    <s v="Petty Cash Reimbursement"/>
    <n v="-100"/>
    <s v="E"/>
    <x v="2"/>
    <s v="BS-399"/>
    <x v="19"/>
  </r>
  <r>
    <x v="18"/>
    <x v="1"/>
    <s v="Invoice EXP24"/>
    <s v="Internet Service Provider"/>
    <n v="179"/>
    <s v="A"/>
    <x v="0"/>
    <s v="IS-380"/>
    <x v="20"/>
  </r>
  <r>
    <x v="18"/>
    <x v="14"/>
    <s v="Invoice"/>
    <s v="Course"/>
    <n v="220"/>
    <s v="A"/>
    <x v="0"/>
    <s v="IS-385"/>
    <x v="20"/>
  </r>
  <r>
    <x v="19"/>
    <x v="3"/>
    <s v="Debit Order"/>
    <s v="Insurance"/>
    <n v="340"/>
    <s v="A"/>
    <x v="0"/>
    <s v="IS-340"/>
    <x v="21"/>
  </r>
  <r>
    <x v="20"/>
    <x v="15"/>
    <s v="S50037"/>
    <s v="Accommodation"/>
    <n v="563"/>
    <s v="A"/>
    <x v="0"/>
    <s v="IS-390"/>
    <x v="22"/>
  </r>
  <r>
    <x v="20"/>
    <x v="16"/>
    <s v="Invoice"/>
    <s v="Stationery"/>
    <n v="982"/>
    <s v="A"/>
    <x v="0"/>
    <s v="IS-370"/>
    <x v="23"/>
  </r>
  <r>
    <x v="21"/>
    <x v="4"/>
    <s v="Bank Statement"/>
    <s v="Service Fees"/>
    <n v="80"/>
    <s v="A"/>
    <x v="0"/>
    <s v="IS-315"/>
    <x v="24"/>
  </r>
  <r>
    <x v="21"/>
    <x v="4"/>
    <s v="Bank Statement"/>
    <s v="Service Fees"/>
    <n v="35"/>
    <s v="A"/>
    <x v="1"/>
    <s v="IS-315"/>
    <x v="24"/>
  </r>
  <r>
    <x v="21"/>
    <x v="5"/>
    <s v="Invoice"/>
    <s v="Bookkeeping"/>
    <n v="1000"/>
    <s v="A"/>
    <x v="0"/>
    <s v="IS-305"/>
    <x v="25"/>
  </r>
  <r>
    <x v="22"/>
    <x v="8"/>
    <s v="Transfer"/>
    <s v="Inter Account Transfer"/>
    <n v="-20000"/>
    <s v="E"/>
    <x v="1"/>
    <s v="BS-399"/>
    <x v="26"/>
  </r>
  <r>
    <x v="22"/>
    <x v="8"/>
    <s v="Transfer"/>
    <s v="Inter Account Transfer"/>
    <n v="20000"/>
    <s v="E"/>
    <x v="0"/>
    <s v="BS-399"/>
    <x v="26"/>
  </r>
  <r>
    <x v="23"/>
    <x v="8"/>
    <s v="Payroll"/>
    <s v="Salaries"/>
    <n v="20000"/>
    <s v="E"/>
    <x v="1"/>
    <s v="IS-365"/>
    <x v="17"/>
  </r>
  <r>
    <x v="23"/>
    <x v="9"/>
    <s v="Debit Order"/>
    <s v="Capital repayment"/>
    <n v="220"/>
    <s v="E"/>
    <x v="0"/>
    <s v="BS-700"/>
    <x v="17"/>
  </r>
  <r>
    <x v="23"/>
    <x v="9"/>
    <s v="Debit Order"/>
    <s v="Interest paid"/>
    <n v="100"/>
    <s v="E"/>
    <x v="0"/>
    <s v="IS-500"/>
    <x v="17"/>
  </r>
  <r>
    <x v="23"/>
    <x v="10"/>
    <s v="Debit Order"/>
    <s v="Rent"/>
    <n v="6400"/>
    <s v="A"/>
    <x v="0"/>
    <s v="IS-350"/>
    <x v="17"/>
  </r>
  <r>
    <x v="24"/>
    <x v="6"/>
    <s v="Cash"/>
    <s v="Flowers"/>
    <n v="65"/>
    <s v="A"/>
    <x v="2"/>
    <s v="IS-345"/>
    <x v="18"/>
  </r>
  <r>
    <x v="25"/>
    <x v="8"/>
    <s v="Bank Statement"/>
    <s v="Petty Cash Reimbursement"/>
    <n v="100"/>
    <s v="E"/>
    <x v="0"/>
    <s v="BS-399"/>
    <x v="20"/>
  </r>
  <r>
    <x v="25"/>
    <x v="8"/>
    <s v="Bank Statement"/>
    <s v="Petty Cash Reimbursement"/>
    <n v="-100"/>
    <s v="E"/>
    <x v="2"/>
    <s v="BS-399"/>
    <x v="20"/>
  </r>
  <r>
    <x v="26"/>
    <x v="1"/>
    <s v="Invoice EXP25"/>
    <s v="Internet Service Provider"/>
    <n v="179"/>
    <s v="A"/>
    <x v="0"/>
    <s v="IS-380"/>
    <x v="27"/>
  </r>
  <r>
    <x v="27"/>
    <x v="3"/>
    <s v="Debit Order"/>
    <s v="Insurance"/>
    <n v="340"/>
    <s v="A"/>
    <x v="0"/>
    <s v="IS-340"/>
    <x v="28"/>
  </r>
  <r>
    <x v="28"/>
    <x v="4"/>
    <s v="Bank Statement"/>
    <s v="Service Fees"/>
    <n v="80"/>
    <s v="A"/>
    <x v="0"/>
    <s v="IS-315"/>
    <x v="29"/>
  </r>
  <r>
    <x v="28"/>
    <x v="4"/>
    <s v="Bank Statement"/>
    <s v="Service Fees"/>
    <n v="35"/>
    <s v="A"/>
    <x v="1"/>
    <s v="IS-315"/>
    <x v="29"/>
  </r>
  <r>
    <x v="28"/>
    <x v="5"/>
    <s v="Invoice"/>
    <s v="Bookkeeping"/>
    <n v="1000"/>
    <s v="A"/>
    <x v="0"/>
    <s v="IS-305"/>
    <x v="30"/>
  </r>
  <r>
    <x v="29"/>
    <x v="8"/>
    <s v="Transfer"/>
    <s v="Inter Account Transfer"/>
    <n v="-20000"/>
    <s v="E"/>
    <x v="1"/>
    <s v="BS-399"/>
    <x v="31"/>
  </r>
  <r>
    <x v="29"/>
    <x v="8"/>
    <s v="Transfer"/>
    <s v="Inter Account Transfer"/>
    <n v="20000"/>
    <s v="E"/>
    <x v="0"/>
    <s v="BS-399"/>
    <x v="31"/>
  </r>
  <r>
    <x v="30"/>
    <x v="6"/>
    <s v="Cash"/>
    <s v="Flowers"/>
    <n v="110"/>
    <s v="A"/>
    <x v="2"/>
    <s v="IS-345"/>
    <x v="32"/>
  </r>
  <r>
    <x v="31"/>
    <x v="11"/>
    <s v="Return"/>
    <s v="Sales Tax"/>
    <n v="8700"/>
    <s v="E"/>
    <x v="0"/>
    <s v="BS-600"/>
    <x v="33"/>
  </r>
  <r>
    <x v="32"/>
    <x v="8"/>
    <s v="Payroll"/>
    <s v="Salaries"/>
    <n v="20000"/>
    <s v="E"/>
    <x v="1"/>
    <s v="IS-365"/>
    <x v="34"/>
  </r>
  <r>
    <x v="32"/>
    <x v="9"/>
    <s v="Debit Order"/>
    <s v="Capital repayment"/>
    <n v="220"/>
    <s v="E"/>
    <x v="0"/>
    <s v="BS-700"/>
    <x v="34"/>
  </r>
  <r>
    <x v="32"/>
    <x v="9"/>
    <s v="Debit Order"/>
    <s v="Interest paid"/>
    <n v="100"/>
    <s v="E"/>
    <x v="0"/>
    <s v="IS-500"/>
    <x v="34"/>
  </r>
  <r>
    <x v="32"/>
    <x v="10"/>
    <s v="Debit Order"/>
    <s v="Rent"/>
    <n v="6400"/>
    <s v="A"/>
    <x v="0"/>
    <s v="IS-350"/>
    <x v="34"/>
  </r>
  <r>
    <x v="32"/>
    <x v="17"/>
    <s v="SA11235"/>
    <s v="Travel"/>
    <n v="1782"/>
    <s v="A"/>
    <x v="0"/>
    <s v="IS-390"/>
    <x v="34"/>
  </r>
  <r>
    <x v="33"/>
    <x v="8"/>
    <s v="Bank Statement"/>
    <s v="Petty Cash Reimbursement"/>
    <n v="100"/>
    <s v="E"/>
    <x v="0"/>
    <s v="BS-399"/>
    <x v="35"/>
  </r>
  <r>
    <x v="33"/>
    <x v="8"/>
    <s v="Bank Statement"/>
    <s v="Petty Cash Reimbursement"/>
    <n v="-100"/>
    <s v="E"/>
    <x v="2"/>
    <s v="BS-399"/>
    <x v="35"/>
  </r>
  <r>
    <x v="34"/>
    <x v="1"/>
    <s v="Invoice EXP26"/>
    <s v="Internet Service Provider"/>
    <n v="179"/>
    <s v="A"/>
    <x v="0"/>
    <s v="IS-380"/>
    <x v="36"/>
  </r>
  <r>
    <x v="35"/>
    <x v="16"/>
    <s v="Invoice"/>
    <s v="Stationery"/>
    <n v="761"/>
    <s v="A"/>
    <x v="0"/>
    <s v="IS-370"/>
    <x v="37"/>
  </r>
  <r>
    <x v="36"/>
    <x v="3"/>
    <s v="Debit Order"/>
    <s v="Insurance"/>
    <n v="340"/>
    <s v="A"/>
    <x v="0"/>
    <s v="IS-340"/>
    <x v="38"/>
  </r>
  <r>
    <x v="37"/>
    <x v="4"/>
    <s v="Bank Statement"/>
    <s v="Service Fees"/>
    <n v="80"/>
    <s v="A"/>
    <x v="0"/>
    <s v="IS-315"/>
    <x v="39"/>
  </r>
  <r>
    <x v="37"/>
    <x v="4"/>
    <s v="Bank Statement"/>
    <s v="Service Fees"/>
    <n v="35"/>
    <s v="A"/>
    <x v="1"/>
    <s v="IS-315"/>
    <x v="39"/>
  </r>
  <r>
    <x v="37"/>
    <x v="5"/>
    <s v="Invoice"/>
    <s v="Bookkeeping"/>
    <n v="1000"/>
    <s v="A"/>
    <x v="0"/>
    <s v="IS-305"/>
    <x v="40"/>
  </r>
  <r>
    <x v="38"/>
    <x v="6"/>
    <s v="Cash"/>
    <s v="Flowers"/>
    <n v="29"/>
    <s v="A"/>
    <x v="2"/>
    <s v="IS-345"/>
    <x v="41"/>
  </r>
  <r>
    <x v="39"/>
    <x v="13"/>
    <s v="IN1181"/>
    <s v="Consumables"/>
    <n v="937"/>
    <s v="A"/>
    <x v="0"/>
    <s v="IS-325"/>
    <x v="42"/>
  </r>
  <r>
    <x v="40"/>
    <x v="8"/>
    <s v="Transfer"/>
    <s v="Inter Account Transfer"/>
    <n v="-20000"/>
    <s v="E"/>
    <x v="1"/>
    <s v="BS-399"/>
    <x v="43"/>
  </r>
  <r>
    <x v="40"/>
    <x v="8"/>
    <s v="Transfer"/>
    <s v="Inter Account Transfer"/>
    <n v="20000"/>
    <s v="E"/>
    <x v="0"/>
    <s v="BS-399"/>
    <x v="43"/>
  </r>
  <r>
    <x v="41"/>
    <x v="18"/>
    <s v="M00321037"/>
    <s v="Annual Membership"/>
    <n v="2000"/>
    <s v="A"/>
    <x v="0"/>
    <s v="IS-375"/>
    <x v="44"/>
  </r>
  <r>
    <x v="42"/>
    <x v="8"/>
    <s v="Payroll"/>
    <s v="Salaries"/>
    <n v="20000"/>
    <s v="E"/>
    <x v="1"/>
    <s v="IS-365"/>
    <x v="45"/>
  </r>
  <r>
    <x v="42"/>
    <x v="9"/>
    <s v="Debit Order"/>
    <s v="Capital repayment"/>
    <n v="220"/>
    <s v="E"/>
    <x v="0"/>
    <s v="BS-700"/>
    <x v="45"/>
  </r>
  <r>
    <x v="42"/>
    <x v="9"/>
    <s v="Debit Order"/>
    <s v="Interest paid"/>
    <n v="100"/>
    <s v="E"/>
    <x v="0"/>
    <s v="IS-500"/>
    <x v="45"/>
  </r>
  <r>
    <x v="42"/>
    <x v="10"/>
    <s v="Debit Order"/>
    <s v="Rent"/>
    <n v="6400"/>
    <s v="A"/>
    <x v="0"/>
    <s v="IS-350"/>
    <x v="45"/>
  </r>
  <r>
    <x v="43"/>
    <x v="8"/>
    <s v="Bank Statement"/>
    <s v="Petty Cash Reimbursement"/>
    <n v="50"/>
    <s v="E"/>
    <x v="0"/>
    <s v="BS-399"/>
    <x v="36"/>
  </r>
  <r>
    <x v="43"/>
    <x v="8"/>
    <s v="Bank Statement"/>
    <s v="Petty Cash Reimbursement"/>
    <n v="-50"/>
    <s v="E"/>
    <x v="2"/>
    <s v="BS-399"/>
    <x v="36"/>
  </r>
  <r>
    <x v="44"/>
    <x v="1"/>
    <s v="Invoice EXP27"/>
    <s v="Internet Service Provider"/>
    <n v="179"/>
    <s v="A"/>
    <x v="0"/>
    <s v="IS-380"/>
    <x v="46"/>
  </r>
  <r>
    <x v="45"/>
    <x v="3"/>
    <s v="Debit Order"/>
    <s v="Insurance"/>
    <n v="340"/>
    <s v="A"/>
    <x v="0"/>
    <s v="IS-340"/>
    <x v="47"/>
  </r>
  <r>
    <x v="46"/>
    <x v="6"/>
    <s v="Cash"/>
    <s v="Flowers"/>
    <n v="78"/>
    <s v="A"/>
    <x v="2"/>
    <s v="IS-345"/>
    <x v="48"/>
  </r>
  <r>
    <x v="47"/>
    <x v="19"/>
    <s v="Invoice 9987"/>
    <s v="Commission"/>
    <n v="747"/>
    <s v="A"/>
    <x v="0"/>
    <s v="IS-320"/>
    <x v="49"/>
  </r>
  <r>
    <x v="48"/>
    <x v="4"/>
    <s v="Bank Statement"/>
    <s v="Service Fees"/>
    <n v="80"/>
    <s v="A"/>
    <x v="0"/>
    <s v="IS-315"/>
    <x v="50"/>
  </r>
  <r>
    <x v="48"/>
    <x v="4"/>
    <s v="Bank Statement"/>
    <s v="Service Fees"/>
    <n v="35"/>
    <s v="A"/>
    <x v="1"/>
    <s v="IS-315"/>
    <x v="50"/>
  </r>
  <r>
    <x v="48"/>
    <x v="5"/>
    <s v="Invoice"/>
    <s v="Bookkeeping"/>
    <n v="1000"/>
    <s v="A"/>
    <x v="0"/>
    <s v="IS-305"/>
    <x v="51"/>
  </r>
  <r>
    <x v="48"/>
    <x v="17"/>
    <s v="SA11988"/>
    <s v="Travel"/>
    <n v="1278"/>
    <s v="A"/>
    <x v="0"/>
    <s v="IS-390"/>
    <x v="50"/>
  </r>
  <r>
    <x v="49"/>
    <x v="8"/>
    <s v="Transfer"/>
    <s v="Inter Account Transfer"/>
    <n v="-20000"/>
    <s v="E"/>
    <x v="1"/>
    <s v="BS-399"/>
    <x v="52"/>
  </r>
  <r>
    <x v="49"/>
    <x v="8"/>
    <s v="Transfer"/>
    <s v="Inter Account Transfer"/>
    <n v="20000"/>
    <s v="E"/>
    <x v="0"/>
    <s v="BS-399"/>
    <x v="52"/>
  </r>
  <r>
    <x v="50"/>
    <x v="20"/>
    <s v="Remittance"/>
    <s v="Share investment"/>
    <n v="3750"/>
    <s v="E"/>
    <x v="0"/>
    <s v="BS-200"/>
    <x v="53"/>
  </r>
  <r>
    <x v="51"/>
    <x v="11"/>
    <s v="Return"/>
    <s v="Sales Tax"/>
    <n v="6600"/>
    <s v="E"/>
    <x v="0"/>
    <s v="BS-600"/>
    <x v="54"/>
  </r>
  <r>
    <x v="52"/>
    <x v="8"/>
    <s v="Payroll"/>
    <s v="Salaries"/>
    <n v="20000"/>
    <s v="E"/>
    <x v="1"/>
    <s v="IS-365"/>
    <x v="55"/>
  </r>
  <r>
    <x v="52"/>
    <x v="9"/>
    <s v="Debit Order"/>
    <s v="Capital repayment"/>
    <n v="220"/>
    <s v="E"/>
    <x v="0"/>
    <s v="BS-700"/>
    <x v="55"/>
  </r>
  <r>
    <x v="52"/>
    <x v="9"/>
    <s v="Debit Order"/>
    <s v="Interest paid"/>
    <n v="100"/>
    <s v="E"/>
    <x v="0"/>
    <s v="IS-500"/>
    <x v="55"/>
  </r>
  <r>
    <x v="52"/>
    <x v="10"/>
    <s v="Debit Order"/>
    <s v="Rent"/>
    <n v="6400"/>
    <s v="A"/>
    <x v="0"/>
    <s v="IS-350"/>
    <x v="55"/>
  </r>
  <r>
    <x v="53"/>
    <x v="16"/>
    <s v="Invoice"/>
    <s v="Stationery"/>
    <n v="234"/>
    <s v="A"/>
    <x v="0"/>
    <s v="IS-370"/>
    <x v="56"/>
  </r>
  <r>
    <x v="54"/>
    <x v="8"/>
    <s v="Bank Statement"/>
    <s v="Petty Cash Reimbursement"/>
    <n v="50"/>
    <s v="E"/>
    <x v="0"/>
    <s v="BS-399"/>
    <x v="46"/>
  </r>
  <r>
    <x v="54"/>
    <x v="8"/>
    <s v="Bank Statement"/>
    <s v="Petty Cash Reimbursement"/>
    <n v="-50"/>
    <s v="E"/>
    <x v="2"/>
    <s v="BS-399"/>
    <x v="46"/>
  </r>
  <r>
    <x v="54"/>
    <x v="11"/>
    <s v="Return"/>
    <s v="Provisional Tax"/>
    <n v="2600"/>
    <s v="E"/>
    <x v="0"/>
    <s v="IS-600"/>
    <x v="46"/>
  </r>
  <r>
    <x v="55"/>
    <x v="1"/>
    <s v="Invoice EXP28"/>
    <s v="Internet Service Provider"/>
    <n v="179"/>
    <s v="A"/>
    <x v="0"/>
    <s v="IS-380"/>
    <x v="57"/>
  </r>
  <r>
    <x v="56"/>
    <x v="3"/>
    <s v="Debit Order"/>
    <s v="Insurance"/>
    <n v="340"/>
    <s v="A"/>
    <x v="0"/>
    <s v="IS-340"/>
    <x v="58"/>
  </r>
  <r>
    <x v="57"/>
    <x v="14"/>
    <s v="Invoice"/>
    <s v="Course"/>
    <n v="277.48"/>
    <s v="A"/>
    <x v="0"/>
    <s v="IS-385"/>
    <x v="59"/>
  </r>
  <r>
    <x v="58"/>
    <x v="4"/>
    <s v="Bank Statement"/>
    <s v="Service Fees"/>
    <n v="80"/>
    <s v="A"/>
    <x v="0"/>
    <s v="IS-315"/>
    <x v="60"/>
  </r>
  <r>
    <x v="58"/>
    <x v="4"/>
    <s v="Bank Statement"/>
    <s v="Service Fees"/>
    <n v="35"/>
    <s v="A"/>
    <x v="1"/>
    <s v="IS-315"/>
    <x v="60"/>
  </r>
  <r>
    <x v="58"/>
    <x v="5"/>
    <s v="Invoice"/>
    <s v="Bookkeeping"/>
    <n v="1000"/>
    <s v="A"/>
    <x v="0"/>
    <s v="IS-305"/>
    <x v="61"/>
  </r>
  <r>
    <x v="59"/>
    <x v="21"/>
    <s v="Statement"/>
    <s v="Rates"/>
    <n v="5620"/>
    <s v="A"/>
    <x v="0"/>
    <s v="IS-395"/>
    <x v="62"/>
  </r>
  <r>
    <x v="59"/>
    <x v="22"/>
    <s v="Invoice"/>
    <s v="Legal advice"/>
    <n v="12500"/>
    <s v="A"/>
    <x v="0"/>
    <s v="IS-360"/>
    <x v="62"/>
  </r>
  <r>
    <x v="60"/>
    <x v="8"/>
    <s v="Transfer"/>
    <s v="Inter Account Transfer"/>
    <n v="-20000"/>
    <s v="E"/>
    <x v="1"/>
    <s v="BS-399"/>
    <x v="63"/>
  </r>
  <r>
    <x v="60"/>
    <x v="8"/>
    <s v="Transfer"/>
    <s v="Inter Account Transfer"/>
    <n v="20000"/>
    <s v="E"/>
    <x v="0"/>
    <s v="BS-399"/>
    <x v="63"/>
  </r>
  <r>
    <x v="61"/>
    <x v="6"/>
    <s v="Cash"/>
    <s v="Flowers"/>
    <n v="90"/>
    <s v="A"/>
    <x v="2"/>
    <s v="IS-345"/>
    <x v="64"/>
  </r>
  <r>
    <x v="62"/>
    <x v="19"/>
    <s v="Invoice11203"/>
    <s v="Commission"/>
    <n v="4242"/>
    <s v="A"/>
    <x v="0"/>
    <s v="IS-320"/>
    <x v="65"/>
  </r>
  <r>
    <x v="63"/>
    <x v="8"/>
    <s v="Payroll"/>
    <s v="Salaries"/>
    <n v="20000"/>
    <s v="E"/>
    <x v="1"/>
    <s v="IS-365"/>
    <x v="56"/>
  </r>
  <r>
    <x v="63"/>
    <x v="9"/>
    <s v="Debit Order"/>
    <s v="Capital repayment"/>
    <n v="220"/>
    <s v="E"/>
    <x v="0"/>
    <s v="BS-700"/>
    <x v="56"/>
  </r>
  <r>
    <x v="63"/>
    <x v="9"/>
    <s v="Debit Order"/>
    <s v="Interest paid"/>
    <n v="100"/>
    <s v="E"/>
    <x v="0"/>
    <s v="IS-500"/>
    <x v="56"/>
  </r>
  <r>
    <x v="63"/>
    <x v="10"/>
    <s v="Debit Order"/>
    <s v="Rent"/>
    <n v="6400"/>
    <s v="A"/>
    <x v="0"/>
    <s v="IS-350"/>
    <x v="56"/>
  </r>
  <r>
    <x v="64"/>
    <x v="8"/>
    <s v="Bank Statement"/>
    <s v="Petty Cash Reimbursement"/>
    <n v="100"/>
    <s v="E"/>
    <x v="0"/>
    <s v="BS-399"/>
    <x v="66"/>
  </r>
  <r>
    <x v="64"/>
    <x v="8"/>
    <s v="Bank Statement"/>
    <s v="Petty Cash Reimbursement"/>
    <n v="-100"/>
    <s v="E"/>
    <x v="2"/>
    <s v="BS-399"/>
    <x v="66"/>
  </r>
  <r>
    <x v="65"/>
    <x v="1"/>
    <s v="Invoice EXP29"/>
    <s v="Internet Service Provider"/>
    <n v="179"/>
    <s v="A"/>
    <x v="0"/>
    <s v="IS-380"/>
    <x v="67"/>
  </r>
  <r>
    <x v="66"/>
    <x v="13"/>
    <s v="IN1185"/>
    <s v="Consumables"/>
    <n v="62"/>
    <s v="A"/>
    <x v="2"/>
    <s v="IS-325"/>
    <x v="68"/>
  </r>
  <r>
    <x v="66"/>
    <x v="17"/>
    <s v="SA12741"/>
    <s v="Travel"/>
    <n v="1887"/>
    <s v="A"/>
    <x v="0"/>
    <s v="IS-390"/>
    <x v="69"/>
  </r>
  <r>
    <x v="67"/>
    <x v="3"/>
    <s v="Debit Order"/>
    <s v="Insurance"/>
    <n v="340"/>
    <s v="A"/>
    <x v="0"/>
    <s v="IS-340"/>
    <x v="70"/>
  </r>
  <r>
    <x v="68"/>
    <x v="4"/>
    <s v="Bank Statement"/>
    <s v="Service Fees"/>
    <n v="80"/>
    <s v="A"/>
    <x v="0"/>
    <s v="IS-315"/>
    <x v="71"/>
  </r>
  <r>
    <x v="68"/>
    <x v="4"/>
    <s v="Bank Statement"/>
    <s v="Service Fees"/>
    <n v="35"/>
    <s v="A"/>
    <x v="1"/>
    <s v="IS-315"/>
    <x v="71"/>
  </r>
  <r>
    <x v="68"/>
    <x v="5"/>
    <s v="Invoice"/>
    <s v="Bookkeeping"/>
    <n v="1000"/>
    <s v="A"/>
    <x v="0"/>
    <s v="IS-305"/>
    <x v="72"/>
  </r>
  <r>
    <x v="69"/>
    <x v="8"/>
    <s v="Transfer"/>
    <s v="Inter Account Transfer"/>
    <n v="-20000"/>
    <s v="E"/>
    <x v="1"/>
    <s v="BS-399"/>
    <x v="73"/>
  </r>
  <r>
    <x v="69"/>
    <x v="8"/>
    <s v="Transfer"/>
    <s v="Inter Account Transfer"/>
    <n v="20000"/>
    <s v="E"/>
    <x v="0"/>
    <s v="BS-399"/>
    <x v="73"/>
  </r>
  <r>
    <x v="70"/>
    <x v="16"/>
    <s v="Invoice"/>
    <s v="Stationery"/>
    <n v="289"/>
    <s v="A"/>
    <x v="0"/>
    <s v="IS-370"/>
    <x v="74"/>
  </r>
  <r>
    <x v="71"/>
    <x v="11"/>
    <s v="Return"/>
    <s v="Sales Tax"/>
    <n v="3300"/>
    <s v="E"/>
    <x v="0"/>
    <s v="BS-600"/>
    <x v="75"/>
  </r>
  <r>
    <x v="72"/>
    <x v="8"/>
    <s v="Payroll"/>
    <s v="Salaries"/>
    <n v="20000"/>
    <s v="E"/>
    <x v="1"/>
    <s v="IS-365"/>
    <x v="76"/>
  </r>
  <r>
    <x v="72"/>
    <x v="9"/>
    <s v="Debit Order"/>
    <s v="Capital repayment"/>
    <n v="220"/>
    <s v="E"/>
    <x v="0"/>
    <s v="BS-700"/>
    <x v="76"/>
  </r>
  <r>
    <x v="72"/>
    <x v="9"/>
    <s v="Debit Order"/>
    <s v="Interest paid"/>
    <n v="100"/>
    <s v="E"/>
    <x v="0"/>
    <s v="IS-500"/>
    <x v="76"/>
  </r>
  <r>
    <x v="72"/>
    <x v="10"/>
    <s v="Debit Order"/>
    <s v="Rent"/>
    <n v="6400"/>
    <s v="A"/>
    <x v="0"/>
    <s v="IS-350"/>
    <x v="76"/>
  </r>
  <r>
    <x v="73"/>
    <x v="6"/>
    <s v="Cash"/>
    <s v="Flowers"/>
    <n v="218"/>
    <s v="A"/>
    <x v="2"/>
    <s v="IS-345"/>
    <x v="77"/>
  </r>
  <r>
    <x v="74"/>
    <x v="8"/>
    <s v="Bank Statement"/>
    <s v="Petty Cash Reimbursement"/>
    <n v="200"/>
    <s v="E"/>
    <x v="0"/>
    <s v="BS-399"/>
    <x v="67"/>
  </r>
  <r>
    <x v="74"/>
    <x v="8"/>
    <s v="Bank Statement"/>
    <s v="Petty Cash Reimbursement"/>
    <n v="-200"/>
    <s v="E"/>
    <x v="2"/>
    <s v="BS-399"/>
    <x v="67"/>
  </r>
  <r>
    <x v="75"/>
    <x v="1"/>
    <s v="Invoice EXP30"/>
    <s v="Internet Service Provider"/>
    <n v="179"/>
    <s v="A"/>
    <x v="0"/>
    <s v="IS-380"/>
    <x v="78"/>
  </r>
  <r>
    <x v="76"/>
    <x v="3"/>
    <s v="Debit Order"/>
    <s v="Insurance"/>
    <n v="340"/>
    <s v="A"/>
    <x v="0"/>
    <s v="IS-340"/>
    <x v="79"/>
  </r>
  <r>
    <x v="76"/>
    <x v="19"/>
    <s v="Invoice 12987"/>
    <s v="Commission"/>
    <n v="982"/>
    <s v="A"/>
    <x v="0"/>
    <s v="IS-320"/>
    <x v="80"/>
  </r>
  <r>
    <x v="77"/>
    <x v="4"/>
    <s v="Bank Statement"/>
    <s v="Service Fees"/>
    <n v="80"/>
    <s v="A"/>
    <x v="0"/>
    <s v="IS-315"/>
    <x v="81"/>
  </r>
  <r>
    <x v="77"/>
    <x v="4"/>
    <s v="Bank Statement"/>
    <s v="Service Fees"/>
    <n v="35"/>
    <s v="A"/>
    <x v="1"/>
    <s v="IS-315"/>
    <x v="81"/>
  </r>
  <r>
    <x v="77"/>
    <x v="5"/>
    <s v="Invoice"/>
    <s v="Bookkeeping"/>
    <n v="1000"/>
    <s v="A"/>
    <x v="0"/>
    <s v="IS-305"/>
    <x v="82"/>
  </r>
  <r>
    <x v="78"/>
    <x v="6"/>
    <s v="Cash"/>
    <s v="Flowers"/>
    <n v="102"/>
    <s v="A"/>
    <x v="2"/>
    <s v="IS-345"/>
    <x v="83"/>
  </r>
  <r>
    <x v="79"/>
    <x v="8"/>
    <s v="Transfer"/>
    <s v="Inter Account Transfer"/>
    <n v="-20000"/>
    <s v="E"/>
    <x v="1"/>
    <s v="BS-399"/>
    <x v="84"/>
  </r>
  <r>
    <x v="79"/>
    <x v="8"/>
    <s v="Transfer"/>
    <s v="Inter Account Transfer"/>
    <n v="20000"/>
    <s v="E"/>
    <x v="0"/>
    <s v="BS-399"/>
    <x v="84"/>
  </r>
  <r>
    <x v="80"/>
    <x v="8"/>
    <s v="Payroll"/>
    <s v="Salaries"/>
    <n v="20000"/>
    <s v="E"/>
    <x v="1"/>
    <s v="IS-365"/>
    <x v="85"/>
  </r>
  <r>
    <x v="80"/>
    <x v="9"/>
    <s v="Debit Order"/>
    <s v="Capital repayment"/>
    <n v="220"/>
    <s v="E"/>
    <x v="0"/>
    <s v="BS-700"/>
    <x v="85"/>
  </r>
  <r>
    <x v="80"/>
    <x v="9"/>
    <s v="Debit Order"/>
    <s v="Interest paid"/>
    <n v="100"/>
    <s v="E"/>
    <x v="0"/>
    <s v="IS-500"/>
    <x v="85"/>
  </r>
  <r>
    <x v="80"/>
    <x v="10"/>
    <s v="Debit Order"/>
    <s v="Rent"/>
    <n v="6400"/>
    <s v="A"/>
    <x v="0"/>
    <s v="IS-350"/>
    <x v="85"/>
  </r>
  <r>
    <x v="81"/>
    <x v="8"/>
    <s v="Bank Statement"/>
    <s v="Petty Cash Reimbursement"/>
    <n v="170"/>
    <s v="E"/>
    <x v="0"/>
    <s v="BS-399"/>
    <x v="86"/>
  </r>
  <r>
    <x v="81"/>
    <x v="8"/>
    <s v="Bank Statement"/>
    <s v="Petty Cash Reimbursement"/>
    <n v="-170"/>
    <s v="E"/>
    <x v="2"/>
    <s v="BS-399"/>
    <x v="86"/>
  </r>
  <r>
    <x v="82"/>
    <x v="1"/>
    <s v="Invoice EXP31"/>
    <s v="Internet Service Provider"/>
    <n v="179"/>
    <s v="A"/>
    <x v="0"/>
    <s v="IS-380"/>
    <x v="87"/>
  </r>
  <r>
    <x v="83"/>
    <x v="3"/>
    <s v="Debit Order"/>
    <s v="Insurance"/>
    <n v="340"/>
    <s v="A"/>
    <x v="0"/>
    <s v="IS-340"/>
    <x v="80"/>
  </r>
  <r>
    <x v="84"/>
    <x v="6"/>
    <s v="Cash"/>
    <s v="Flowers"/>
    <n v="96"/>
    <s v="A"/>
    <x v="2"/>
    <s v="IS-345"/>
    <x v="88"/>
  </r>
  <r>
    <x v="85"/>
    <x v="4"/>
    <s v="Bank Statement"/>
    <s v="Service Fees"/>
    <n v="80"/>
    <s v="A"/>
    <x v="0"/>
    <s v="IS-315"/>
    <x v="89"/>
  </r>
  <r>
    <x v="85"/>
    <x v="4"/>
    <s v="Bank Statement"/>
    <s v="Service Fees"/>
    <n v="35"/>
    <s v="A"/>
    <x v="1"/>
    <s v="IS-315"/>
    <x v="89"/>
  </r>
  <r>
    <x v="85"/>
    <x v="5"/>
    <s v="Invoice"/>
    <s v="Bookkeeping"/>
    <n v="1000"/>
    <s v="A"/>
    <x v="0"/>
    <s v="IS-305"/>
    <x v="90"/>
  </r>
  <r>
    <x v="86"/>
    <x v="2"/>
    <s v="M00353051"/>
    <s v="Subscriptions"/>
    <n v="120"/>
    <s v="A"/>
    <x v="0"/>
    <s v="IS-375"/>
    <x v="91"/>
  </r>
  <r>
    <x v="86"/>
    <x v="16"/>
    <s v="Invoice"/>
    <s v="Stationery"/>
    <n v="310"/>
    <s v="A"/>
    <x v="0"/>
    <s v="IS-370"/>
    <x v="91"/>
  </r>
  <r>
    <x v="86"/>
    <x v="19"/>
    <s v="Invoice 13432"/>
    <s v="Commission"/>
    <n v="962"/>
    <s v="A"/>
    <x v="0"/>
    <s v="IS-320"/>
    <x v="91"/>
  </r>
  <r>
    <x v="87"/>
    <x v="8"/>
    <s v="Transfer"/>
    <s v="Inter Account Transfer"/>
    <n v="-20000"/>
    <s v="E"/>
    <x v="1"/>
    <s v="BS-399"/>
    <x v="92"/>
  </r>
  <r>
    <x v="87"/>
    <x v="8"/>
    <s v="Transfer"/>
    <s v="Inter Account Transfer"/>
    <n v="20000"/>
    <s v="E"/>
    <x v="0"/>
    <s v="BS-399"/>
    <x v="92"/>
  </r>
  <r>
    <x v="88"/>
    <x v="13"/>
    <s v="IN1192"/>
    <s v="Consumables"/>
    <n v="61"/>
    <s v="A"/>
    <x v="2"/>
    <s v="IS-325"/>
    <x v="93"/>
  </r>
  <r>
    <x v="89"/>
    <x v="11"/>
    <s v="Return"/>
    <s v="Sales Tax"/>
    <n v="8400"/>
    <s v="E"/>
    <x v="0"/>
    <s v="BS-600"/>
    <x v="94"/>
  </r>
  <r>
    <x v="90"/>
    <x v="8"/>
    <s v="Payroll"/>
    <s v="Salaries"/>
    <n v="20000"/>
    <s v="E"/>
    <x v="1"/>
    <s v="IS-365"/>
    <x v="95"/>
  </r>
  <r>
    <x v="90"/>
    <x v="9"/>
    <s v="Debit Order"/>
    <s v="Capital repayment"/>
    <n v="220"/>
    <s v="E"/>
    <x v="0"/>
    <s v="BS-700"/>
    <x v="95"/>
  </r>
  <r>
    <x v="90"/>
    <x v="9"/>
    <s v="Debit Order"/>
    <s v="Interest paid"/>
    <n v="100"/>
    <s v="E"/>
    <x v="0"/>
    <s v="IS-500"/>
    <x v="95"/>
  </r>
  <r>
    <x v="90"/>
    <x v="10"/>
    <s v="Debit Order"/>
    <s v="Rent"/>
    <n v="6400"/>
    <s v="A"/>
    <x v="0"/>
    <s v="IS-350"/>
    <x v="95"/>
  </r>
  <r>
    <x v="91"/>
    <x v="8"/>
    <s v="Bank Statement"/>
    <s v="Petty Cash Reimbursement"/>
    <n v="100"/>
    <s v="E"/>
    <x v="0"/>
    <s v="BS-399"/>
    <x v="87"/>
  </r>
  <r>
    <x v="91"/>
    <x v="8"/>
    <s v="Bank Statement"/>
    <s v="Petty Cash Reimbursement"/>
    <n v="-100"/>
    <s v="E"/>
    <x v="2"/>
    <s v="BS-399"/>
    <x v="87"/>
  </r>
  <r>
    <x v="92"/>
    <x v="1"/>
    <s v="Invoice EXP32"/>
    <s v="Internet Service Provider"/>
    <n v="179"/>
    <s v="A"/>
    <x v="0"/>
    <s v="IS-380"/>
    <x v="96"/>
  </r>
  <r>
    <x v="93"/>
    <x v="3"/>
    <s v="Debit Order"/>
    <s v="Insurance"/>
    <n v="340"/>
    <s v="A"/>
    <x v="0"/>
    <s v="IS-340"/>
    <x v="97"/>
  </r>
  <r>
    <x v="94"/>
    <x v="4"/>
    <s v="Bank Statement"/>
    <s v="Service Fees"/>
    <n v="80"/>
    <s v="A"/>
    <x v="0"/>
    <s v="IS-315"/>
    <x v="98"/>
  </r>
  <r>
    <x v="94"/>
    <x v="4"/>
    <s v="Bank Statement"/>
    <s v="Service Fees"/>
    <n v="35"/>
    <s v="A"/>
    <x v="1"/>
    <s v="IS-315"/>
    <x v="98"/>
  </r>
  <r>
    <x v="94"/>
    <x v="5"/>
    <s v="Invoice"/>
    <s v="Bookkeeping"/>
    <n v="1000"/>
    <s v="A"/>
    <x v="0"/>
    <s v="IS-305"/>
    <x v="99"/>
  </r>
  <r>
    <x v="95"/>
    <x v="6"/>
    <s v="Cash"/>
    <s v="Flowers"/>
    <n v="105"/>
    <s v="A"/>
    <x v="2"/>
    <s v="IS-345"/>
    <x v="91"/>
  </r>
  <r>
    <x v="96"/>
    <x v="8"/>
    <s v="Transfer"/>
    <s v="Inter Account Transfer"/>
    <n v="-20000"/>
    <s v="E"/>
    <x v="1"/>
    <s v="BS-399"/>
    <x v="100"/>
  </r>
  <r>
    <x v="96"/>
    <x v="8"/>
    <s v="Transfer"/>
    <s v="Inter Account Transfer"/>
    <n v="20000"/>
    <s v="E"/>
    <x v="0"/>
    <s v="BS-399"/>
    <x v="100"/>
  </r>
  <r>
    <x v="97"/>
    <x v="8"/>
    <s v="Payroll"/>
    <s v="Salaries"/>
    <n v="20000"/>
    <s v="E"/>
    <x v="1"/>
    <s v="IS-365"/>
    <x v="101"/>
  </r>
  <r>
    <x v="97"/>
    <x v="9"/>
    <s v="Debit Order"/>
    <s v="Capital repayment"/>
    <n v="220"/>
    <s v="E"/>
    <x v="0"/>
    <s v="BS-700"/>
    <x v="101"/>
  </r>
  <r>
    <x v="97"/>
    <x v="9"/>
    <s v="Debit Order"/>
    <s v="Interest paid"/>
    <n v="100"/>
    <s v="E"/>
    <x v="0"/>
    <s v="IS-500"/>
    <x v="101"/>
  </r>
  <r>
    <x v="97"/>
    <x v="10"/>
    <s v="Debit Order"/>
    <s v="Rent"/>
    <n v="6400"/>
    <s v="A"/>
    <x v="0"/>
    <s v="IS-350"/>
    <x v="101"/>
  </r>
  <r>
    <x v="97"/>
    <x v="14"/>
    <s v="Invoice"/>
    <s v="Training"/>
    <n v="389.25"/>
    <s v="A"/>
    <x v="0"/>
    <s v="IS-385"/>
    <x v="96"/>
  </r>
  <r>
    <x v="98"/>
    <x v="19"/>
    <s v="Invoice 14278"/>
    <s v="Commission"/>
    <n v="514"/>
    <s v="A"/>
    <x v="0"/>
    <s v="IS-320"/>
    <x v="102"/>
  </r>
  <r>
    <x v="99"/>
    <x v="8"/>
    <s v="Bank Statement"/>
    <s v="Petty Cash Reimbursement"/>
    <n v="170"/>
    <s v="E"/>
    <x v="0"/>
    <s v="BS-399"/>
    <x v="96"/>
  </r>
  <r>
    <x v="99"/>
    <x v="8"/>
    <s v="Bank Statement"/>
    <s v="Petty Cash Reimbursement"/>
    <n v="-170"/>
    <s v="E"/>
    <x v="2"/>
    <s v="BS-399"/>
    <x v="96"/>
  </r>
  <r>
    <x v="100"/>
    <x v="1"/>
    <s v="Invoice EXP33"/>
    <s v="Internet Service Provider"/>
    <n v="179"/>
    <s v="A"/>
    <x v="0"/>
    <s v="IS-380"/>
    <x v="103"/>
  </r>
  <r>
    <x v="101"/>
    <x v="3"/>
    <s v="Debit Order"/>
    <s v="Insurance"/>
    <n v="340"/>
    <s v="A"/>
    <x v="0"/>
    <s v="IS-340"/>
    <x v="104"/>
  </r>
  <r>
    <x v="102"/>
    <x v="16"/>
    <s v="Invoice"/>
    <s v="Stationery"/>
    <n v="289"/>
    <s v="A"/>
    <x v="0"/>
    <s v="IS-370"/>
    <x v="103"/>
  </r>
  <r>
    <x v="103"/>
    <x v="4"/>
    <s v="Bank Statement"/>
    <s v="Service Fees"/>
    <n v="80"/>
    <s v="A"/>
    <x v="0"/>
    <s v="IS-315"/>
    <x v="105"/>
  </r>
  <r>
    <x v="103"/>
    <x v="4"/>
    <s v="Bank Statement"/>
    <s v="Service Fees"/>
    <n v="35"/>
    <s v="A"/>
    <x v="1"/>
    <s v="IS-315"/>
    <x v="105"/>
  </r>
  <r>
    <x v="103"/>
    <x v="5"/>
    <s v="Invoice"/>
    <s v="Bookkeeping"/>
    <n v="1000"/>
    <s v="A"/>
    <x v="0"/>
    <s v="IS-305"/>
    <x v="103"/>
  </r>
  <r>
    <x v="104"/>
    <x v="8"/>
    <s v="Transfer"/>
    <s v="Inter Account Transfer"/>
    <n v="-20000"/>
    <s v="E"/>
    <x v="1"/>
    <s v="BS-399"/>
    <x v="106"/>
  </r>
  <r>
    <x v="104"/>
    <x v="8"/>
    <s v="Transfer"/>
    <s v="Inter Account Transfer"/>
    <n v="20000"/>
    <s v="E"/>
    <x v="0"/>
    <s v="BS-399"/>
    <x v="106"/>
  </r>
  <r>
    <x v="105"/>
    <x v="11"/>
    <s v="Return"/>
    <s v="Sales Tax"/>
    <n v="2200"/>
    <s v="E"/>
    <x v="0"/>
    <s v="BS-600"/>
    <x v="107"/>
  </r>
  <r>
    <x v="105"/>
    <x v="6"/>
    <s v="Cash"/>
    <s v="Flowers"/>
    <n v="75"/>
    <s v="A"/>
    <x v="2"/>
    <s v="IS-345"/>
    <x v="107"/>
  </r>
  <r>
    <x v="106"/>
    <x v="23"/>
    <s v="Invoice"/>
    <s v="Office equipment"/>
    <n v="10000"/>
    <s v="A"/>
    <x v="0"/>
    <s v="BS-100"/>
    <x v="103"/>
  </r>
  <r>
    <x v="106"/>
    <x v="8"/>
    <s v="Payroll"/>
    <s v="Salaries"/>
    <n v="20000"/>
    <s v="E"/>
    <x v="1"/>
    <s v="IS-365"/>
    <x v="108"/>
  </r>
  <r>
    <x v="106"/>
    <x v="9"/>
    <s v="Debit Order"/>
    <s v="Capital repayment"/>
    <n v="220"/>
    <s v="E"/>
    <x v="0"/>
    <s v="BS-700"/>
    <x v="108"/>
  </r>
  <r>
    <x v="106"/>
    <x v="9"/>
    <s v="Debit Order"/>
    <s v="Interest paid"/>
    <n v="100"/>
    <s v="E"/>
    <x v="0"/>
    <s v="IS-500"/>
    <x v="108"/>
  </r>
  <r>
    <x v="106"/>
    <x v="10"/>
    <s v="Debit Order"/>
    <s v="Rent"/>
    <n v="6400"/>
    <s v="A"/>
    <x v="0"/>
    <s v="IS-350"/>
    <x v="108"/>
  </r>
  <r>
    <x v="107"/>
    <x v="8"/>
    <s v="Bank Statement"/>
    <s v="Petty Cash Reimbursement"/>
    <n v="70"/>
    <s v="E"/>
    <x v="0"/>
    <s v="BS-399"/>
    <x v="109"/>
  </r>
  <r>
    <x v="107"/>
    <x v="8"/>
    <s v="Bank Statement"/>
    <s v="Petty Cash Reimbursement"/>
    <n v="-70"/>
    <s v="E"/>
    <x v="2"/>
    <s v="BS-399"/>
    <x v="109"/>
  </r>
  <r>
    <x v="107"/>
    <x v="11"/>
    <s v="Return"/>
    <s v="Provisional Tax"/>
    <n v="3700"/>
    <s v="E"/>
    <x v="0"/>
    <s v="IS-600"/>
    <x v="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9EC49-F10B-41DD-8418-85B38E8CA3DF}" name="PivotTable1" cacheId="3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2:B27" firstHeaderRow="1" firstDataRow="1" firstDataCol="1"/>
  <pivotFields count="9">
    <pivotField compact="0" numFmtId="14" outline="0" showAll="0"/>
    <pivotField axis="axisRow" compact="0" outline="0" showAll="0" sortType="descending">
      <items count="25">
        <item x="19"/>
        <item x="0"/>
        <item x="16"/>
        <item x="14"/>
        <item x="17"/>
        <item x="7"/>
        <item x="22"/>
        <item x="10"/>
        <item x="2"/>
        <item x="21"/>
        <item x="20"/>
        <item x="1"/>
        <item x="6"/>
        <item x="11"/>
        <item x="5"/>
        <item x="9"/>
        <item x="13"/>
        <item x="12"/>
        <item x="8"/>
        <item x="3"/>
        <item x="23"/>
        <item x="15"/>
        <item x="4"/>
        <item x="18"/>
        <item t="default"/>
      </items>
    </pivotField>
    <pivotField compact="0"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ax Inclusive Amount" fld="4" baseField="0" baseItem="0" numFmtId="166"/>
  </dataFields>
  <formats count="4">
    <format dxfId="37">
      <pivotArea outline="0" collapsedLevelsAreSubtotals="1" fieldPosition="0"/>
    </format>
    <format dxfId="38">
      <pivotArea dataOnly="0" labelOnly="1" outline="0" axis="axisValues" fieldPosition="0"/>
    </format>
    <format dxfId="39">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DC88B-3C9B-4A3A-845B-32A2BD5E7921}" name="PivotTable2"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E20" firstHeaderRow="1" firstDataRow="2" firstDataCol="1"/>
  <pivotFields count="9">
    <pivotField compact="0" numFmtId="14" outline="0" showAll="0">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compact="0" outline="0" showAll="0"/>
    <pivotField compact="0" outline="0" showAll="0"/>
    <pivotField compact="0" outline="0" showAll="0"/>
    <pivotField dataField="1" compact="0" numFmtId="164" outline="0" showAll="0"/>
    <pivotField compact="0" outline="0" showAll="0"/>
    <pivotField axis="axisCol" compact="0" outline="0" showAll="0">
      <items count="4">
        <item x="0"/>
        <item x="1"/>
        <item x="2"/>
        <item t="default"/>
      </items>
    </pivotField>
    <pivotField compact="0" outline="0" showAll="0"/>
    <pivotField axis="axisRow" compact="0" outline="0" showAll="0">
      <items count="111">
        <item x="0"/>
        <item x="3"/>
        <item x="4"/>
        <item x="6"/>
        <item x="7"/>
        <item x="8"/>
        <item x="1"/>
        <item x="2"/>
        <item x="5"/>
        <item x="10"/>
        <item x="11"/>
        <item x="12"/>
        <item x="14"/>
        <item x="15"/>
        <item x="16"/>
        <item x="19"/>
        <item x="9"/>
        <item x="13"/>
        <item x="21"/>
        <item x="22"/>
        <item x="24"/>
        <item x="26"/>
        <item x="17"/>
        <item x="18"/>
        <item x="20"/>
        <item x="25"/>
        <item x="28"/>
        <item x="23"/>
        <item x="29"/>
        <item x="31"/>
        <item x="32"/>
        <item x="33"/>
        <item x="34"/>
        <item x="35"/>
        <item x="27"/>
        <item x="30"/>
        <item x="38"/>
        <item x="39"/>
        <item x="41"/>
        <item x="43"/>
        <item x="45"/>
        <item x="36"/>
        <item x="37"/>
        <item x="40"/>
        <item x="47"/>
        <item x="48"/>
        <item x="50"/>
        <item x="42"/>
        <item x="52"/>
        <item x="53"/>
        <item x="44"/>
        <item x="54"/>
        <item x="55"/>
        <item x="46"/>
        <item x="51"/>
        <item x="58"/>
        <item x="49"/>
        <item x="60"/>
        <item x="62"/>
        <item x="63"/>
        <item x="64"/>
        <item x="56"/>
        <item x="66"/>
        <item x="57"/>
        <item x="61"/>
        <item x="69"/>
        <item x="70"/>
        <item x="59"/>
        <item x="71"/>
        <item x="73"/>
        <item x="65"/>
        <item x="75"/>
        <item x="76"/>
        <item x="77"/>
        <item x="67"/>
        <item x="72"/>
        <item x="68"/>
        <item x="79"/>
        <item x="81"/>
        <item x="83"/>
        <item x="84"/>
        <item x="74"/>
        <item x="85"/>
        <item x="86"/>
        <item x="78"/>
        <item x="82"/>
        <item x="80"/>
        <item x="88"/>
        <item x="89"/>
        <item x="92"/>
        <item x="94"/>
        <item x="95"/>
        <item x="87"/>
        <item x="90"/>
        <item x="97"/>
        <item x="98"/>
        <item x="91"/>
        <item x="100"/>
        <item x="93"/>
        <item x="101"/>
        <item x="96"/>
        <item x="99"/>
        <item x="104"/>
        <item x="105"/>
        <item x="106"/>
        <item x="107"/>
        <item x="108"/>
        <item x="102"/>
        <item x="109"/>
        <item x="103"/>
        <item t="default"/>
      </items>
    </pivotField>
  </pivotFields>
  <rowFields count="1">
    <field x="8"/>
  </rowFields>
  <rowItems count="17">
    <i>
      <x v="93"/>
    </i>
    <i>
      <x v="94"/>
    </i>
    <i>
      <x v="95"/>
    </i>
    <i>
      <x v="96"/>
    </i>
    <i>
      <x v="97"/>
    </i>
    <i>
      <x v="98"/>
    </i>
    <i>
      <x v="99"/>
    </i>
    <i>
      <x v="100"/>
    </i>
    <i>
      <x v="101"/>
    </i>
    <i>
      <x v="102"/>
    </i>
    <i>
      <x v="103"/>
    </i>
    <i>
      <x v="104"/>
    </i>
    <i>
      <x v="105"/>
    </i>
    <i>
      <x v="106"/>
    </i>
    <i>
      <x v="107"/>
    </i>
    <i>
      <x v="108"/>
    </i>
    <i t="grand">
      <x/>
    </i>
  </rowItems>
  <colFields count="1">
    <field x="6"/>
  </colFields>
  <colItems count="4">
    <i>
      <x/>
    </i>
    <i>
      <x v="1"/>
    </i>
    <i>
      <x v="2"/>
    </i>
    <i t="grand">
      <x/>
    </i>
  </colItems>
  <dataFields count="1">
    <dataField name="Sum of Tax Inclusive Amount" fld="4" baseField="0" baseItem="0" numFmtId="164"/>
  </dataFields>
  <formats count="22">
    <format dxfId="15">
      <pivotArea outline="0" fieldPosition="0">
        <references count="1">
          <reference field="6" count="1" selected="0">
            <x v="0"/>
          </reference>
        </references>
      </pivotArea>
    </format>
    <format dxfId="16">
      <pivotArea field="6" type="button" dataOnly="0" labelOnly="1" outline="0" axis="axisCol" fieldPosition="0"/>
    </format>
    <format dxfId="17">
      <pivotArea dataOnly="0" labelOnly="1" outline="0" fieldPosition="0">
        <references count="1">
          <reference field="6" count="1">
            <x v="0"/>
          </reference>
        </references>
      </pivotArea>
    </format>
    <format dxfId="18">
      <pivotArea type="all" dataOnly="0" outline="0" fieldPosition="0"/>
    </format>
    <format dxfId="19">
      <pivotArea outline="0" collapsedLevelsAreSubtotals="1" fieldPosition="0"/>
    </format>
    <format dxfId="20">
      <pivotArea type="origin" dataOnly="0" labelOnly="1" outline="0" fieldPosition="0"/>
    </format>
    <format dxfId="21">
      <pivotArea field="6" type="button" dataOnly="0" labelOnly="1" outline="0" axis="axisCol" fieldPosition="0"/>
    </format>
    <format dxfId="22">
      <pivotArea type="topRight" dataOnly="0" labelOnly="1" outline="0" fieldPosition="0"/>
    </format>
    <format dxfId="23">
      <pivotArea field="0" type="button" dataOnly="0" labelOnly="1" outline="0"/>
    </format>
    <format dxfId="24">
      <pivotArea field="8" type="button" dataOnly="0" labelOnly="1" outline="0" axis="axisRow" fieldPosition="0"/>
    </format>
    <format dxfId="25">
      <pivotArea dataOnly="0" labelOnly="1" grandRow="1" outline="0" fieldPosition="0"/>
    </format>
    <format dxfId="26">
      <pivotArea dataOnly="0" labelOnly="1" outline="0" fieldPosition="0">
        <references count="1">
          <reference field="6" count="0"/>
        </references>
      </pivotArea>
    </format>
    <format dxfId="27">
      <pivotArea dataOnly="0" labelOnly="1" grandCol="1" outline="0" fieldPosition="0"/>
    </format>
    <format dxfId="28">
      <pivotArea type="origin" dataOnly="0" labelOnly="1" outline="0" fieldPosition="0"/>
    </format>
    <format dxfId="29">
      <pivotArea field="0" type="button" dataOnly="0" labelOnly="1" outline="0"/>
    </format>
    <format dxfId="30">
      <pivotArea dataOnly="0" labelOnly="1" grandRow="1" outline="0" fieldPosition="0"/>
    </format>
    <format dxfId="31">
      <pivotArea type="origin" dataOnly="0" labelOnly="1" outline="0" fieldPosition="0"/>
    </format>
    <format dxfId="32">
      <pivotArea field="0" type="button" dataOnly="0" labelOnly="1" outline="0"/>
    </format>
    <format dxfId="33">
      <pivotArea dataOnly="0" labelOnly="1" grandRow="1" outline="0" fieldPosition="0"/>
    </format>
    <format dxfId="34">
      <pivotArea type="origin" dataOnly="0" labelOnly="1" outline="0" fieldPosition="0"/>
    </format>
    <format dxfId="35">
      <pivotArea field="0" type="button" dataOnly="0" labelOnly="1" outline="0"/>
    </format>
    <format dxfId="36">
      <pivotArea dataOnly="0" labelOnly="1" grandRow="1" outline="0" fieldPosition="0"/>
    </format>
  </format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8" type="dateNewerThanOrEqual" evalOrder="-1" id="1">
      <autoFilter ref="A1">
        <filterColumn colId="0">
          <customFilters>
            <customFilter operator="greaterThanOrEqual" val="4090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D26CE0-5D2E-4F10-BC35-CF1EB991E705}" name="Table2" displayName="Table2" ref="A3:I15" totalsRowShown="0">
  <autoFilter ref="A3:I15" xr:uid="{94D26CE0-5D2E-4F10-BC35-CF1EB991E705}"/>
  <tableColumns count="9">
    <tableColumn id="1" xr3:uid="{797F9825-26BB-4DCE-9865-20BBB3D12010}" name="Document Date" dataDxfId="14"/>
    <tableColumn id="2" xr3:uid="{88FC7B3E-1CC4-4BCF-B0DE-420C83B3489D}" name="Supplier"/>
    <tableColumn id="3" xr3:uid="{7FFCDDD4-B04D-4971-B101-8CF6F8AD3055}" name="Reference"/>
    <tableColumn id="4" xr3:uid="{D5022649-B0B2-4BA4-A841-6529424C0A40}" name="Description"/>
    <tableColumn id="5" xr3:uid="{647BEBFB-6574-4DF5-AC11-B6ADD46047BF}" name="Tax Inclusive Amount"/>
    <tableColumn id="6" xr3:uid="{6DB81105-85E4-4169-9E75-CE4F86F30627}" name="Tax Code"/>
    <tableColumn id="7" xr3:uid="{E407107F-F8E7-4BD1-AE5F-193C5422C7BB}" name="Bank Code"/>
    <tableColumn id="8" xr3:uid="{131A0F20-A9BF-49B5-A300-DF2D934993AA}" name="Account Code"/>
    <tableColumn id="9" xr3:uid="{8832E4E9-7438-4E29-BD49-0E0BF416EFE1}" name="Payment Date"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A2AB91-A00E-4D36-97C0-BB4EBF9701A9}" name="ExpTable" displayName="ExpTable" ref="A2:I210" totalsRowShown="0" headerRowDxfId="12" dataDxfId="11" headerRowBorderDxfId="9" tableBorderDxfId="10">
  <autoFilter ref="A2:I210" xr:uid="{9CA2AB91-A00E-4D36-97C0-BB4EBF9701A9}"/>
  <tableColumns count="9">
    <tableColumn id="1" xr3:uid="{AEC2D08C-B7E9-4AC7-B5FC-4C0614098CE1}" name="Document Date" dataDxfId="8"/>
    <tableColumn id="2" xr3:uid="{74D8FA84-524D-4BB9-9F91-1B0E7AB6AAA5}" name="Supplier" dataDxfId="7"/>
    <tableColumn id="3" xr3:uid="{B4E6A9D7-D9A6-4FE5-B957-5FED15167059}" name="Reference" dataDxfId="6"/>
    <tableColumn id="4" xr3:uid="{77699449-CF50-4583-954B-DDCB4FA0DE43}" name="Description" dataDxfId="5"/>
    <tableColumn id="5" xr3:uid="{101E7F49-D80F-41DB-9E98-208A01AE2E89}" name="Tax Inclusive Amount" dataDxfId="4" dataCellStyle="Comma"/>
    <tableColumn id="6" xr3:uid="{7ADDFE70-F4A8-4C52-A627-64D55DE6145D}" name="Tax Code" dataDxfId="3"/>
    <tableColumn id="7" xr3:uid="{D97D938D-9D5F-483D-AA7E-E29665E6CE6D}" name="Bank Code" dataDxfId="2"/>
    <tableColumn id="8" xr3:uid="{1A2F1148-C1D1-4BB8-9AF9-62B847B88DB0}" name="Account Code" dataDxfId="1"/>
    <tableColumn id="9" xr3:uid="{585ECB78-8CDF-40C0-8260-C91B0912AE1C}" name="Payment Date"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pex">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ex">
      <a:majorFont>
        <a:latin typeface="Lucida Sans"/>
        <a:ea typeface=""/>
        <a:cs typeface=""/>
        <a:font script="Grek" typeface="Arial"/>
        <a:font script="Cyrl" typeface="Arial"/>
        <a:font script="Jpan" typeface="HG丸ｺﾞｼｯｸM-PRO"/>
        <a:font script="Hang" typeface="휴먼옛체"/>
        <a:font script="Hans" typeface="黑体"/>
        <a:font script="Hant" typeface="微軟正黑體"/>
        <a:font script="Arab" typeface="Tahoma"/>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Book Antiqua"/>
        <a:ea typeface=""/>
        <a:cs typeface=""/>
        <a:font script="Grek" typeface="Times New Roman"/>
        <a:font script="Cyrl" typeface="Times New Roman"/>
        <a:font script="Jpan" typeface="HG明朝B"/>
        <a:font script="Hang" typeface="돋움"/>
        <a:font script="Hans" typeface="宋体"/>
        <a:font script="Hant" typeface="新細明體"/>
        <a:font script="Arab" typeface="Times New Roman"/>
        <a:font script="Hebr" typeface="David"/>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Apex">
      <a:fillStyleLst>
        <a:solidFill>
          <a:schemeClr val="phClr"/>
        </a:solidFill>
        <a:gradFill rotWithShape="1">
          <a:gsLst>
            <a:gs pos="20000">
              <a:schemeClr val="phClr">
                <a:tint val="9000"/>
              </a:schemeClr>
            </a:gs>
            <a:gs pos="100000">
              <a:schemeClr val="phClr">
                <a:tint val="70000"/>
                <a:satMod val="100000"/>
              </a:schemeClr>
            </a:gs>
          </a:gsLst>
          <a:path path="circle">
            <a:fillToRect l="-15000" t="-15000" r="115000" b="115000"/>
          </a:path>
        </a:gradFill>
        <a:gradFill rotWithShape="1">
          <a:gsLst>
            <a:gs pos="0">
              <a:schemeClr val="phClr">
                <a:shade val="60000"/>
              </a:schemeClr>
            </a:gs>
            <a:gs pos="33000">
              <a:schemeClr val="phClr">
                <a:tint val="86500"/>
              </a:schemeClr>
            </a:gs>
            <a:gs pos="46750">
              <a:schemeClr val="phClr">
                <a:tint val="71000"/>
                <a:satMod val="112000"/>
              </a:schemeClr>
            </a:gs>
            <a:gs pos="53000">
              <a:schemeClr val="phClr">
                <a:tint val="71000"/>
                <a:satMod val="112000"/>
              </a:schemeClr>
            </a:gs>
            <a:gs pos="68000">
              <a:schemeClr val="phClr">
                <a:tint val="86000"/>
              </a:schemeClr>
            </a:gs>
            <a:gs pos="100000">
              <a:schemeClr val="phClr">
                <a:shade val="60000"/>
              </a:schemeClr>
            </a:gs>
          </a:gsLst>
          <a:lin ang="8350000" scaled="1"/>
        </a:gradFill>
      </a:fillStyleLst>
      <a:lnStyleLst>
        <a:ln w="9525" cap="flat" cmpd="sng" algn="ctr">
          <a:solidFill>
            <a:schemeClr val="phClr">
              <a:shade val="48000"/>
              <a:satMod val="110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130000" dist="101600" dir="2700000" algn="tl" rotWithShape="0">
              <a:srgbClr val="000000">
                <a:alpha val="35000"/>
              </a:srgbClr>
            </a:outerShdw>
          </a:effectLst>
        </a:effectStyle>
        <a:effectStyle>
          <a:effectLst>
            <a:outerShdw blurRad="190500" dist="228600" dir="2700000" sy="90000" rotWithShape="0">
              <a:srgbClr val="000000">
                <a:alpha val="25500"/>
              </a:srgbClr>
            </a:outerShdw>
          </a:effectLst>
        </a:effectStyle>
        <a:effectStyle>
          <a:effectLst>
            <a:outerShdw blurRad="190500" dist="228600" dir="2700000" sy="90000" rotWithShape="0">
              <a:srgbClr val="000000">
                <a:alpha val="25500"/>
              </a:srgbClr>
            </a:outerShdw>
          </a:effectLst>
          <a:scene3d>
            <a:camera prst="orthographicFront" fov="0">
              <a:rot lat="0" lon="0" rev="0"/>
            </a:camera>
            <a:lightRig rig="soft" dir="tl">
              <a:rot lat="0" lon="0" rev="20100000"/>
            </a:lightRig>
          </a:scene3d>
          <a:sp3d>
            <a:bevelT w="50800" h="50800"/>
          </a:sp3d>
        </a:effectStyle>
      </a:effectStyleLst>
      <a:bgFillStyleLst>
        <a:solidFill>
          <a:schemeClr val="phClr"/>
        </a:solidFill>
        <a:gradFill rotWithShape="1">
          <a:gsLst>
            <a:gs pos="0">
              <a:schemeClr val="phClr">
                <a:tint val="50000"/>
                <a:satMod val="180000"/>
              </a:schemeClr>
            </a:gs>
            <a:gs pos="100000">
              <a:schemeClr val="phClr">
                <a:shade val="45000"/>
                <a:satMod val="120000"/>
              </a:schemeClr>
            </a:gs>
          </a:gsLst>
          <a:path path="circle">
            <a:fillToRect r="100000" b="100000"/>
          </a:path>
        </a:gradFill>
        <a:blipFill>
          <a:blip xmlns:r="http://schemas.openxmlformats.org/officeDocument/2006/relationships" r:embed="rId1">
            <a:duotone>
              <a:schemeClr val="phClr">
                <a:shade val="3000"/>
                <a:satMod val="110000"/>
              </a:schemeClr>
              <a:schemeClr val="phClr">
                <a:tint val="60000"/>
                <a:satMod val="425000"/>
              </a:schemeClr>
            </a:duotone>
          </a:blip>
          <a:stretch>
            <a:fillRect/>
          </a:stretch>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6"/>
  <sheetViews>
    <sheetView workbookViewId="0"/>
  </sheetViews>
  <sheetFormatPr defaultColWidth="9.140625" defaultRowHeight="15"/>
  <cols>
    <col min="1" max="1" width="5.7109375" style="9" customWidth="1"/>
    <col min="2" max="2" width="87.28515625" style="10" customWidth="1"/>
    <col min="3" max="16384" width="9.140625" style="6"/>
  </cols>
  <sheetData>
    <row r="1" spans="1:2" s="3" customFormat="1" ht="15.6">
      <c r="A1" s="1" t="s">
        <v>0</v>
      </c>
      <c r="B1" s="2" t="s">
        <v>1</v>
      </c>
    </row>
    <row r="2" spans="1:2" ht="76.900000000000006">
      <c r="A2" s="4">
        <v>1</v>
      </c>
      <c r="B2" s="5" t="s">
        <v>2</v>
      </c>
    </row>
    <row r="3" spans="1:2" ht="75.599999999999994">
      <c r="A3" s="4">
        <v>2</v>
      </c>
      <c r="B3" s="5" t="s">
        <v>3</v>
      </c>
    </row>
    <row r="4" spans="1:2" ht="31.15">
      <c r="A4" s="4">
        <v>3</v>
      </c>
      <c r="B4" s="24" t="s">
        <v>4</v>
      </c>
    </row>
    <row r="5" spans="1:2" ht="60">
      <c r="A5" s="4">
        <v>4</v>
      </c>
      <c r="B5" s="5" t="s">
        <v>5</v>
      </c>
    </row>
    <row r="6" spans="1:2" ht="31.15">
      <c r="A6" s="4">
        <v>5</v>
      </c>
      <c r="B6" s="24" t="s">
        <v>6</v>
      </c>
    </row>
    <row r="7" spans="1:2" ht="75">
      <c r="A7" s="4">
        <v>6</v>
      </c>
      <c r="B7" s="5" t="s">
        <v>7</v>
      </c>
    </row>
    <row r="8" spans="1:2" ht="30">
      <c r="A8" s="4">
        <v>7</v>
      </c>
      <c r="B8" s="5" t="s">
        <v>8</v>
      </c>
    </row>
    <row r="9" spans="1:2" ht="45">
      <c r="A9" s="4">
        <v>8</v>
      </c>
      <c r="B9" s="5" t="s">
        <v>9</v>
      </c>
    </row>
    <row r="10" spans="1:2" ht="45">
      <c r="A10" s="4">
        <v>9</v>
      </c>
      <c r="B10" s="5" t="s">
        <v>10</v>
      </c>
    </row>
    <row r="11" spans="1:2" ht="30">
      <c r="A11" s="4">
        <v>10</v>
      </c>
      <c r="B11" s="5" t="s">
        <v>11</v>
      </c>
    </row>
    <row r="12" spans="1:2" ht="45">
      <c r="A12" s="4">
        <v>11</v>
      </c>
      <c r="B12" s="5" t="s">
        <v>12</v>
      </c>
    </row>
    <row r="13" spans="1:2" ht="30">
      <c r="A13" s="4">
        <v>12</v>
      </c>
      <c r="B13" s="5" t="s">
        <v>13</v>
      </c>
    </row>
    <row r="14" spans="1:2" ht="45">
      <c r="A14" s="4">
        <v>13</v>
      </c>
      <c r="B14" s="5" t="s">
        <v>14</v>
      </c>
    </row>
    <row r="15" spans="1:2" ht="30">
      <c r="A15" s="4">
        <v>14</v>
      </c>
      <c r="B15" s="5" t="s">
        <v>15</v>
      </c>
    </row>
    <row r="16" spans="1:2" ht="46.9">
      <c r="A16" s="7">
        <v>22</v>
      </c>
      <c r="B16" s="8" t="s">
        <v>16</v>
      </c>
    </row>
  </sheetData>
  <printOptions horizontalCentered="1"/>
  <pageMargins left="0.5" right="0.5" top="0.5" bottom="0.5" header="0" footer="0"/>
  <pageSetup paperSize="9" scale="87" orientation="portrait" r:id="rId1"/>
  <headerFooter>
    <oddFooter>&amp;C&amp;9Page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F324-33A5-4845-9942-D203D37AF40B}">
  <sheetPr>
    <pageSetUpPr fitToPage="1"/>
  </sheetPr>
  <dimension ref="A1:B12"/>
  <sheetViews>
    <sheetView workbookViewId="0"/>
  </sheetViews>
  <sheetFormatPr defaultColWidth="9.140625" defaultRowHeight="15"/>
  <cols>
    <col min="1" max="1" width="5.7109375" style="9" customWidth="1"/>
    <col min="2" max="2" width="87.28515625" style="10" customWidth="1"/>
    <col min="3" max="16384" width="9.140625" style="6"/>
  </cols>
  <sheetData>
    <row r="1" spans="1:2" s="3" customFormat="1" ht="15.6">
      <c r="A1" s="1" t="s">
        <v>0</v>
      </c>
      <c r="B1" s="2" t="s">
        <v>17</v>
      </c>
    </row>
    <row r="2" spans="1:2" ht="60">
      <c r="A2" s="4">
        <v>1</v>
      </c>
      <c r="B2" s="5" t="s">
        <v>18</v>
      </c>
    </row>
    <row r="3" spans="1:2" ht="30">
      <c r="A3" s="4">
        <v>2</v>
      </c>
      <c r="B3" s="5" t="s">
        <v>19</v>
      </c>
    </row>
    <row r="4" spans="1:2" ht="75">
      <c r="A4" s="4">
        <v>3</v>
      </c>
      <c r="B4" s="5" t="s">
        <v>7</v>
      </c>
    </row>
    <row r="5" spans="1:2" ht="30">
      <c r="A5" s="4">
        <v>4</v>
      </c>
      <c r="B5" s="5" t="s">
        <v>8</v>
      </c>
    </row>
    <row r="6" spans="1:2" ht="45">
      <c r="A6" s="4">
        <v>5</v>
      </c>
      <c r="B6" s="5" t="s">
        <v>9</v>
      </c>
    </row>
    <row r="7" spans="1:2" ht="45">
      <c r="A7" s="4">
        <v>6</v>
      </c>
      <c r="B7" s="5" t="s">
        <v>10</v>
      </c>
    </row>
    <row r="8" spans="1:2" ht="45">
      <c r="A8" s="4">
        <v>7</v>
      </c>
      <c r="B8" s="5" t="s">
        <v>20</v>
      </c>
    </row>
    <row r="9" spans="1:2" ht="30">
      <c r="A9" s="4">
        <v>8</v>
      </c>
      <c r="B9" s="5" t="s">
        <v>21</v>
      </c>
    </row>
    <row r="10" spans="1:2" ht="30">
      <c r="A10" s="4">
        <v>9</v>
      </c>
      <c r="B10" s="5" t="s">
        <v>22</v>
      </c>
    </row>
    <row r="11" spans="1:2" ht="77.45">
      <c r="A11" s="4">
        <v>10</v>
      </c>
      <c r="B11" s="5" t="s">
        <v>23</v>
      </c>
    </row>
    <row r="12" spans="1:2" ht="46.9">
      <c r="A12" s="4">
        <v>11</v>
      </c>
      <c r="B12" s="8" t="s">
        <v>16</v>
      </c>
    </row>
  </sheetData>
  <printOptions horizontalCentered="1"/>
  <pageMargins left="0.5" right="0.5" top="0.5" bottom="0.5" header="0" footer="0"/>
  <pageSetup paperSize="9" scale="87" orientation="portrait" r:id="rId1"/>
  <headerFooter>
    <oddFooter>&amp;C&amp;9Page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2DAD-4797-45B0-A478-A149FE46A1C0}">
  <dimension ref="A1:I15"/>
  <sheetViews>
    <sheetView workbookViewId="0"/>
  </sheetViews>
  <sheetFormatPr defaultRowHeight="12.75"/>
  <cols>
    <col min="1" max="1" width="17.140625" bestFit="1" customWidth="1"/>
    <col min="2" max="2" width="15" bestFit="1" customWidth="1"/>
    <col min="3" max="3" width="12.42578125" bestFit="1" customWidth="1"/>
    <col min="4" max="4" width="13.7109375" bestFit="1" customWidth="1"/>
    <col min="5" max="5" width="22.85546875" bestFit="1" customWidth="1"/>
    <col min="6" max="6" width="11.85546875" bestFit="1" customWidth="1"/>
    <col min="7" max="7" width="13.140625" bestFit="1" customWidth="1"/>
    <col min="8" max="8" width="16.140625" bestFit="1" customWidth="1"/>
    <col min="9" max="9" width="15.85546875" bestFit="1" customWidth="1"/>
  </cols>
  <sheetData>
    <row r="1" spans="1:9">
      <c r="A1" s="32" t="s">
        <v>24</v>
      </c>
    </row>
    <row r="3" spans="1:9">
      <c r="A3" t="s">
        <v>25</v>
      </c>
      <c r="B3" t="s">
        <v>26</v>
      </c>
      <c r="C3" t="s">
        <v>27</v>
      </c>
      <c r="D3" t="s">
        <v>28</v>
      </c>
      <c r="E3" t="s">
        <v>29</v>
      </c>
      <c r="F3" t="s">
        <v>30</v>
      </c>
      <c r="G3" t="s">
        <v>31</v>
      </c>
      <c r="H3" t="s">
        <v>32</v>
      </c>
      <c r="I3" t="s">
        <v>33</v>
      </c>
    </row>
    <row r="4" spans="1:9">
      <c r="A4" s="31">
        <v>40954</v>
      </c>
      <c r="B4" t="s">
        <v>34</v>
      </c>
      <c r="C4" t="s">
        <v>35</v>
      </c>
      <c r="D4" t="s">
        <v>36</v>
      </c>
      <c r="E4">
        <v>1000</v>
      </c>
      <c r="F4" t="s">
        <v>37</v>
      </c>
      <c r="G4" t="s">
        <v>38</v>
      </c>
      <c r="H4" t="s">
        <v>39</v>
      </c>
    </row>
    <row r="5" spans="1:9">
      <c r="A5" s="31">
        <v>40923</v>
      </c>
      <c r="B5" t="s">
        <v>34</v>
      </c>
      <c r="C5" t="s">
        <v>35</v>
      </c>
      <c r="D5" t="s">
        <v>36</v>
      </c>
      <c r="E5">
        <v>1000</v>
      </c>
      <c r="F5" t="s">
        <v>37</v>
      </c>
      <c r="G5" t="s">
        <v>38</v>
      </c>
      <c r="H5" t="s">
        <v>39</v>
      </c>
      <c r="I5" s="31">
        <v>40941</v>
      </c>
    </row>
    <row r="6" spans="1:9">
      <c r="A6" s="31">
        <v>40892</v>
      </c>
      <c r="B6" t="s">
        <v>34</v>
      </c>
      <c r="C6" t="s">
        <v>35</v>
      </c>
      <c r="D6" t="s">
        <v>36</v>
      </c>
      <c r="E6">
        <v>1000</v>
      </c>
      <c r="F6" t="s">
        <v>37</v>
      </c>
      <c r="G6" t="s">
        <v>38</v>
      </c>
      <c r="H6" t="s">
        <v>39</v>
      </c>
      <c r="I6" s="31">
        <v>40910</v>
      </c>
    </row>
    <row r="7" spans="1:9">
      <c r="A7" s="31">
        <v>40862</v>
      </c>
      <c r="B7" t="s">
        <v>34</v>
      </c>
      <c r="C7" t="s">
        <v>35</v>
      </c>
      <c r="D7" t="s">
        <v>36</v>
      </c>
      <c r="E7">
        <v>1000</v>
      </c>
      <c r="F7" t="s">
        <v>37</v>
      </c>
      <c r="G7" t="s">
        <v>38</v>
      </c>
      <c r="H7" t="s">
        <v>39</v>
      </c>
      <c r="I7" s="31">
        <v>40880</v>
      </c>
    </row>
    <row r="8" spans="1:9">
      <c r="A8" s="31">
        <v>40831</v>
      </c>
      <c r="B8" t="s">
        <v>34</v>
      </c>
      <c r="C8" t="s">
        <v>35</v>
      </c>
      <c r="D8" t="s">
        <v>36</v>
      </c>
      <c r="E8">
        <v>1000</v>
      </c>
      <c r="F8" t="s">
        <v>37</v>
      </c>
      <c r="G8" t="s">
        <v>38</v>
      </c>
      <c r="H8" t="s">
        <v>39</v>
      </c>
      <c r="I8" s="31">
        <v>40849</v>
      </c>
    </row>
    <row r="9" spans="1:9">
      <c r="A9" s="31">
        <v>40801</v>
      </c>
      <c r="B9" t="s">
        <v>34</v>
      </c>
      <c r="C9" t="s">
        <v>35</v>
      </c>
      <c r="D9" t="s">
        <v>36</v>
      </c>
      <c r="E9">
        <v>1000</v>
      </c>
      <c r="F9" t="s">
        <v>37</v>
      </c>
      <c r="G9" t="s">
        <v>38</v>
      </c>
      <c r="H9" t="s">
        <v>39</v>
      </c>
      <c r="I9" s="31">
        <v>40819</v>
      </c>
    </row>
    <row r="10" spans="1:9">
      <c r="A10" s="31">
        <v>40617</v>
      </c>
      <c r="B10" t="s">
        <v>34</v>
      </c>
      <c r="C10" t="s">
        <v>35</v>
      </c>
      <c r="D10" t="s">
        <v>36</v>
      </c>
      <c r="E10">
        <v>1000</v>
      </c>
      <c r="F10" t="s">
        <v>37</v>
      </c>
      <c r="G10" t="s">
        <v>38</v>
      </c>
      <c r="H10" t="s">
        <v>39</v>
      </c>
      <c r="I10" s="31">
        <v>40635</v>
      </c>
    </row>
    <row r="11" spans="1:9">
      <c r="A11" s="31">
        <v>40770</v>
      </c>
      <c r="B11" t="s">
        <v>34</v>
      </c>
      <c r="C11" t="s">
        <v>35</v>
      </c>
      <c r="D11" t="s">
        <v>36</v>
      </c>
      <c r="E11">
        <v>1000</v>
      </c>
      <c r="F11" t="s">
        <v>37</v>
      </c>
      <c r="G11" t="s">
        <v>38</v>
      </c>
      <c r="H11" t="s">
        <v>39</v>
      </c>
      <c r="I11" s="31">
        <v>40788</v>
      </c>
    </row>
    <row r="12" spans="1:9">
      <c r="A12" s="31">
        <v>40739</v>
      </c>
      <c r="B12" t="s">
        <v>34</v>
      </c>
      <c r="C12" t="s">
        <v>35</v>
      </c>
      <c r="D12" t="s">
        <v>36</v>
      </c>
      <c r="E12">
        <v>1000</v>
      </c>
      <c r="F12" t="s">
        <v>37</v>
      </c>
      <c r="G12" t="s">
        <v>38</v>
      </c>
      <c r="H12" t="s">
        <v>39</v>
      </c>
      <c r="I12" s="31">
        <v>40757</v>
      </c>
    </row>
    <row r="13" spans="1:9">
      <c r="A13" s="31">
        <v>40709</v>
      </c>
      <c r="B13" t="s">
        <v>34</v>
      </c>
      <c r="C13" t="s">
        <v>35</v>
      </c>
      <c r="D13" t="s">
        <v>36</v>
      </c>
      <c r="E13">
        <v>1000</v>
      </c>
      <c r="F13" t="s">
        <v>37</v>
      </c>
      <c r="G13" t="s">
        <v>38</v>
      </c>
      <c r="H13" t="s">
        <v>39</v>
      </c>
      <c r="I13" s="31">
        <v>40727</v>
      </c>
    </row>
    <row r="14" spans="1:9">
      <c r="A14" s="31">
        <v>40678</v>
      </c>
      <c r="B14" t="s">
        <v>34</v>
      </c>
      <c r="C14" t="s">
        <v>35</v>
      </c>
      <c r="D14" t="s">
        <v>36</v>
      </c>
      <c r="E14">
        <v>1000</v>
      </c>
      <c r="F14" t="s">
        <v>37</v>
      </c>
      <c r="G14" t="s">
        <v>38</v>
      </c>
      <c r="H14" t="s">
        <v>39</v>
      </c>
      <c r="I14" s="31">
        <v>40696</v>
      </c>
    </row>
    <row r="15" spans="1:9">
      <c r="A15" s="31">
        <v>40648</v>
      </c>
      <c r="B15" t="s">
        <v>34</v>
      </c>
      <c r="C15" t="s">
        <v>35</v>
      </c>
      <c r="D15" t="s">
        <v>36</v>
      </c>
      <c r="E15">
        <v>1000</v>
      </c>
      <c r="F15" t="s">
        <v>37</v>
      </c>
      <c r="G15" t="s">
        <v>38</v>
      </c>
      <c r="H15" t="s">
        <v>39</v>
      </c>
      <c r="I15" s="31">
        <v>40666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6FEF-2CCC-4095-B2AE-66C3D31A1EE0}">
  <dimension ref="A2:B27"/>
  <sheetViews>
    <sheetView topLeftCell="A2" workbookViewId="0">
      <selection activeCell="B17" sqref="B17"/>
    </sheetView>
  </sheetViews>
  <sheetFormatPr defaultRowHeight="12.75"/>
  <cols>
    <col min="1" max="1" width="17.5703125" bestFit="1" customWidth="1"/>
    <col min="2" max="2" width="16.7109375" style="30" customWidth="1"/>
  </cols>
  <sheetData>
    <row r="2" spans="1:2" ht="24">
      <c r="A2" s="29" t="s">
        <v>26</v>
      </c>
      <c r="B2" s="30" t="s">
        <v>40</v>
      </c>
    </row>
    <row r="3" spans="1:2">
      <c r="A3" t="s">
        <v>41</v>
      </c>
      <c r="B3" s="30">
        <v>7447</v>
      </c>
    </row>
    <row r="4" spans="1:2">
      <c r="A4" t="s">
        <v>42</v>
      </c>
      <c r="B4" s="30">
        <v>5100</v>
      </c>
    </row>
    <row r="5" spans="1:2">
      <c r="A5" t="s">
        <v>43</v>
      </c>
      <c r="B5" s="30">
        <v>2865</v>
      </c>
    </row>
    <row r="6" spans="1:2">
      <c r="A6" t="s">
        <v>44</v>
      </c>
      <c r="B6" s="30">
        <v>886.73</v>
      </c>
    </row>
    <row r="7" spans="1:2">
      <c r="A7" t="s">
        <v>45</v>
      </c>
      <c r="B7" s="30">
        <v>4947</v>
      </c>
    </row>
    <row r="8" spans="1:2">
      <c r="A8" t="s">
        <v>46</v>
      </c>
      <c r="B8" s="30">
        <v>200</v>
      </c>
    </row>
    <row r="9" spans="1:2">
      <c r="A9" t="s">
        <v>47</v>
      </c>
      <c r="B9" s="30">
        <v>12500</v>
      </c>
    </row>
    <row r="10" spans="1:2">
      <c r="A10" t="s">
        <v>48</v>
      </c>
      <c r="B10" s="30">
        <v>76800</v>
      </c>
    </row>
    <row r="11" spans="1:2">
      <c r="A11" t="s">
        <v>49</v>
      </c>
      <c r="B11" s="30">
        <v>598</v>
      </c>
    </row>
    <row r="12" spans="1:2">
      <c r="A12" t="s">
        <v>50</v>
      </c>
      <c r="B12" s="30">
        <v>5620</v>
      </c>
    </row>
    <row r="13" spans="1:2">
      <c r="A13" t="s">
        <v>51</v>
      </c>
      <c r="B13" s="30">
        <v>3750</v>
      </c>
    </row>
    <row r="14" spans="1:2">
      <c r="A14" t="s">
        <v>52</v>
      </c>
      <c r="B14" s="30">
        <v>2148</v>
      </c>
    </row>
    <row r="15" spans="1:2">
      <c r="A15" t="s">
        <v>53</v>
      </c>
      <c r="B15" s="30">
        <v>1145</v>
      </c>
    </row>
    <row r="16" spans="1:2">
      <c r="A16" t="s">
        <v>54</v>
      </c>
      <c r="B16" s="30">
        <v>36800</v>
      </c>
    </row>
    <row r="17" spans="1:2">
      <c r="A17" t="s">
        <v>34</v>
      </c>
      <c r="B17" s="30">
        <v>12000</v>
      </c>
    </row>
    <row r="18" spans="1:2">
      <c r="A18" t="s">
        <v>55</v>
      </c>
      <c r="B18" s="30">
        <v>3840</v>
      </c>
    </row>
    <row r="19" spans="1:2">
      <c r="A19" t="s">
        <v>56</v>
      </c>
      <c r="B19" s="30">
        <v>1101</v>
      </c>
    </row>
    <row r="20" spans="1:2">
      <c r="A20" t="s">
        <v>57</v>
      </c>
      <c r="B20" s="30">
        <v>3000</v>
      </c>
    </row>
    <row r="21" spans="1:2">
      <c r="A21" t="s">
        <v>58</v>
      </c>
      <c r="B21" s="30">
        <v>253000</v>
      </c>
    </row>
    <row r="22" spans="1:2">
      <c r="A22" t="s">
        <v>59</v>
      </c>
      <c r="B22" s="30">
        <v>4080</v>
      </c>
    </row>
    <row r="23" spans="1:2">
      <c r="A23" t="s">
        <v>60</v>
      </c>
      <c r="B23" s="30">
        <v>10000</v>
      </c>
    </row>
    <row r="24" spans="1:2">
      <c r="A24" t="s">
        <v>61</v>
      </c>
      <c r="B24" s="30">
        <v>563</v>
      </c>
    </row>
    <row r="25" spans="1:2">
      <c r="A25" t="s">
        <v>62</v>
      </c>
      <c r="B25" s="30">
        <v>1350</v>
      </c>
    </row>
    <row r="26" spans="1:2">
      <c r="A26" t="s">
        <v>63</v>
      </c>
      <c r="B26" s="30">
        <v>2000</v>
      </c>
    </row>
    <row r="27" spans="1:2">
      <c r="A27" t="s">
        <v>64</v>
      </c>
      <c r="B27" s="30">
        <v>451740.73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73BC-08BF-4998-B1B5-9E614E726E04}">
  <dimension ref="A2:F238"/>
  <sheetViews>
    <sheetView topLeftCell="A14" workbookViewId="0">
      <selection activeCell="A21" sqref="A21"/>
    </sheetView>
  </sheetViews>
  <sheetFormatPr defaultRowHeight="12.75"/>
  <cols>
    <col min="1" max="1" width="16.28515625" style="39" customWidth="1"/>
    <col min="2" max="2" width="13.5703125" style="38" customWidth="1"/>
    <col min="3" max="3" width="11" style="41" customWidth="1"/>
    <col min="4" max="4" width="8.42578125" style="39" customWidth="1"/>
    <col min="5" max="5" width="11.5703125" style="39" customWidth="1"/>
    <col min="6" max="6" width="16.7109375" style="39" customWidth="1"/>
    <col min="7" max="16384" width="9.140625" style="32"/>
  </cols>
  <sheetData>
    <row r="2" spans="1:6" ht="24">
      <c r="A2" s="40" t="s">
        <v>40</v>
      </c>
      <c r="B2" s="34" t="s">
        <v>31</v>
      </c>
      <c r="C2" s="32"/>
      <c r="D2" s="32"/>
      <c r="E2" s="32"/>
      <c r="F2"/>
    </row>
    <row r="3" spans="1:6">
      <c r="A3" s="33" t="s">
        <v>33</v>
      </c>
      <c r="B3" s="35" t="s">
        <v>38</v>
      </c>
      <c r="C3" s="32" t="s">
        <v>65</v>
      </c>
      <c r="D3" s="32" t="s">
        <v>66</v>
      </c>
      <c r="E3" s="32" t="s">
        <v>64</v>
      </c>
      <c r="F3"/>
    </row>
    <row r="4" spans="1:6">
      <c r="A4" s="36">
        <v>40910</v>
      </c>
      <c r="B4" s="35">
        <v>1000</v>
      </c>
      <c r="C4" s="37"/>
      <c r="D4" s="37"/>
      <c r="E4" s="37">
        <v>1000</v>
      </c>
      <c r="F4"/>
    </row>
    <row r="5" spans="1:6">
      <c r="A5" s="36">
        <v>40913</v>
      </c>
      <c r="B5" s="35">
        <v>340</v>
      </c>
      <c r="C5" s="37"/>
      <c r="D5" s="37"/>
      <c r="E5" s="37">
        <v>340</v>
      </c>
      <c r="F5"/>
    </row>
    <row r="6" spans="1:6">
      <c r="A6" s="36">
        <v>40923</v>
      </c>
      <c r="B6" s="35">
        <v>80</v>
      </c>
      <c r="C6" s="37">
        <v>35</v>
      </c>
      <c r="D6" s="37"/>
      <c r="E6" s="37">
        <v>115</v>
      </c>
      <c r="F6"/>
    </row>
    <row r="7" spans="1:6">
      <c r="A7" s="36">
        <v>40924</v>
      </c>
      <c r="B7" s="35">
        <v>1392</v>
      </c>
      <c r="C7" s="37"/>
      <c r="D7" s="37">
        <v>105</v>
      </c>
      <c r="E7" s="37">
        <v>1497</v>
      </c>
      <c r="F7"/>
    </row>
    <row r="8" spans="1:6">
      <c r="A8" s="36">
        <v>40928</v>
      </c>
      <c r="B8" s="35">
        <v>20000</v>
      </c>
      <c r="C8" s="37">
        <v>-20000</v>
      </c>
      <c r="D8" s="37"/>
      <c r="E8" s="37">
        <v>0</v>
      </c>
      <c r="F8"/>
    </row>
    <row r="9" spans="1:6">
      <c r="A9" s="36">
        <v>40929</v>
      </c>
      <c r="B9" s="35"/>
      <c r="C9" s="37"/>
      <c r="D9" s="37">
        <v>61</v>
      </c>
      <c r="E9" s="37">
        <v>61</v>
      </c>
      <c r="F9"/>
    </row>
    <row r="10" spans="1:6">
      <c r="A10" s="36">
        <v>40934</v>
      </c>
      <c r="B10" s="35">
        <v>6720</v>
      </c>
      <c r="C10" s="37">
        <v>20000</v>
      </c>
      <c r="D10" s="37"/>
      <c r="E10" s="37">
        <v>26720</v>
      </c>
      <c r="F10"/>
    </row>
    <row r="11" spans="1:6">
      <c r="A11" s="36">
        <v>40939</v>
      </c>
      <c r="B11" s="35">
        <v>738.25</v>
      </c>
      <c r="C11" s="37"/>
      <c r="D11" s="37">
        <v>-170</v>
      </c>
      <c r="E11" s="37">
        <v>568.25</v>
      </c>
      <c r="F11"/>
    </row>
    <row r="12" spans="1:6">
      <c r="A12" s="36">
        <v>40941</v>
      </c>
      <c r="B12" s="35">
        <v>1000</v>
      </c>
      <c r="C12" s="37"/>
      <c r="D12" s="37"/>
      <c r="E12" s="37">
        <v>1000</v>
      </c>
      <c r="F12"/>
    </row>
    <row r="13" spans="1:6">
      <c r="A13" s="36">
        <v>40944</v>
      </c>
      <c r="B13" s="35">
        <v>340</v>
      </c>
      <c r="C13" s="37"/>
      <c r="D13" s="37"/>
      <c r="E13" s="37">
        <v>340</v>
      </c>
      <c r="F13"/>
    </row>
    <row r="14" spans="1:6">
      <c r="A14" s="36">
        <v>40954</v>
      </c>
      <c r="B14" s="35">
        <v>80</v>
      </c>
      <c r="C14" s="37">
        <v>35</v>
      </c>
      <c r="D14" s="37"/>
      <c r="E14" s="37">
        <v>115</v>
      </c>
      <c r="F14"/>
    </row>
    <row r="15" spans="1:6">
      <c r="A15" s="36">
        <v>40959</v>
      </c>
      <c r="B15" s="35">
        <v>20000</v>
      </c>
      <c r="C15" s="37">
        <v>-20000</v>
      </c>
      <c r="D15" s="37"/>
      <c r="E15" s="37">
        <v>0</v>
      </c>
      <c r="F15"/>
    </row>
    <row r="16" spans="1:6">
      <c r="A16" s="36">
        <v>40964</v>
      </c>
      <c r="B16" s="35">
        <v>2200</v>
      </c>
      <c r="C16" s="37"/>
      <c r="D16" s="37">
        <v>75</v>
      </c>
      <c r="E16" s="37">
        <v>2275</v>
      </c>
      <c r="F16"/>
    </row>
    <row r="17" spans="1:6">
      <c r="A17" s="36">
        <v>40965</v>
      </c>
      <c r="B17" s="35">
        <v>6720</v>
      </c>
      <c r="C17" s="37">
        <v>20000</v>
      </c>
      <c r="D17" s="37"/>
      <c r="E17" s="37">
        <v>26720</v>
      </c>
      <c r="F17"/>
    </row>
    <row r="18" spans="1:6">
      <c r="A18" s="36">
        <v>40966</v>
      </c>
      <c r="B18" s="35">
        <v>514</v>
      </c>
      <c r="C18" s="37"/>
      <c r="D18" s="37"/>
      <c r="E18" s="37">
        <v>514</v>
      </c>
      <c r="F18"/>
    </row>
    <row r="19" spans="1:6">
      <c r="A19" s="36">
        <v>40968</v>
      </c>
      <c r="B19" s="35">
        <v>3770</v>
      </c>
      <c r="C19" s="37"/>
      <c r="D19" s="37">
        <v>-70</v>
      </c>
      <c r="E19" s="37">
        <v>3700</v>
      </c>
      <c r="F19"/>
    </row>
    <row r="20" spans="1:6">
      <c r="A20" s="39" t="s">
        <v>64</v>
      </c>
      <c r="B20" s="35">
        <v>64894.25</v>
      </c>
      <c r="C20" s="37">
        <v>70</v>
      </c>
      <c r="D20" s="37">
        <v>1</v>
      </c>
      <c r="E20" s="37">
        <v>64965.25</v>
      </c>
      <c r="F20"/>
    </row>
    <row r="21" spans="1:6">
      <c r="A21"/>
      <c r="B21"/>
      <c r="C21"/>
      <c r="D21"/>
      <c r="E21"/>
      <c r="F21"/>
    </row>
    <row r="22" spans="1:6">
      <c r="A22"/>
      <c r="B22"/>
      <c r="C22"/>
      <c r="D22"/>
      <c r="E22"/>
      <c r="F22"/>
    </row>
    <row r="23" spans="1:6">
      <c r="A23"/>
      <c r="B23"/>
      <c r="C23"/>
      <c r="D23"/>
      <c r="E23"/>
      <c r="F23"/>
    </row>
    <row r="24" spans="1:6">
      <c r="A24"/>
      <c r="B24"/>
      <c r="C24"/>
      <c r="D24"/>
      <c r="E24"/>
      <c r="F24"/>
    </row>
    <row r="25" spans="1:6">
      <c r="A25"/>
      <c r="B25"/>
      <c r="C25"/>
      <c r="D25"/>
      <c r="E25"/>
      <c r="F25"/>
    </row>
    <row r="26" spans="1:6">
      <c r="A26"/>
      <c r="B26"/>
      <c r="C26"/>
      <c r="D26"/>
      <c r="E26"/>
      <c r="F26"/>
    </row>
    <row r="27" spans="1:6">
      <c r="A27"/>
      <c r="B27"/>
      <c r="C27"/>
      <c r="D27"/>
      <c r="E27"/>
      <c r="F27"/>
    </row>
    <row r="28" spans="1:6">
      <c r="A28"/>
      <c r="B28"/>
      <c r="C28"/>
      <c r="D28"/>
      <c r="E28"/>
      <c r="F28"/>
    </row>
    <row r="29" spans="1:6">
      <c r="A29"/>
      <c r="B29"/>
      <c r="C29"/>
      <c r="D29"/>
      <c r="E29"/>
      <c r="F29"/>
    </row>
    <row r="30" spans="1:6">
      <c r="A30"/>
      <c r="B30"/>
      <c r="C30"/>
      <c r="D30"/>
      <c r="E30"/>
      <c r="F30"/>
    </row>
    <row r="31" spans="1:6">
      <c r="A31"/>
      <c r="B31"/>
      <c r="C31"/>
      <c r="D31"/>
      <c r="E31"/>
      <c r="F31"/>
    </row>
    <row r="32" spans="1:6">
      <c r="A32"/>
      <c r="B32"/>
      <c r="C32"/>
      <c r="D32"/>
      <c r="E32"/>
      <c r="F32"/>
    </row>
    <row r="33" spans="1:6">
      <c r="A33"/>
      <c r="B33"/>
      <c r="C33"/>
      <c r="D33"/>
      <c r="E33"/>
      <c r="F33"/>
    </row>
    <row r="34" spans="1:6">
      <c r="A34"/>
      <c r="B34"/>
      <c r="C34"/>
      <c r="D34"/>
      <c r="E34"/>
      <c r="F34"/>
    </row>
    <row r="35" spans="1:6">
      <c r="A35"/>
      <c r="B35"/>
      <c r="C35"/>
      <c r="D35"/>
      <c r="E35"/>
      <c r="F35"/>
    </row>
    <row r="36" spans="1:6">
      <c r="A36"/>
      <c r="B36"/>
      <c r="C36"/>
      <c r="D36"/>
      <c r="E36"/>
      <c r="F36"/>
    </row>
    <row r="37" spans="1:6">
      <c r="A37"/>
      <c r="B37"/>
      <c r="C37"/>
      <c r="D37"/>
      <c r="E37"/>
      <c r="F37"/>
    </row>
    <row r="38" spans="1:6">
      <c r="A38"/>
      <c r="B38"/>
      <c r="C38"/>
      <c r="D38"/>
      <c r="E38"/>
      <c r="F38"/>
    </row>
    <row r="39" spans="1:6">
      <c r="A39"/>
      <c r="B39"/>
      <c r="C39"/>
      <c r="D39"/>
      <c r="E39"/>
      <c r="F39"/>
    </row>
    <row r="40" spans="1:6">
      <c r="A40"/>
      <c r="B40"/>
      <c r="C40"/>
      <c r="D40"/>
      <c r="E40"/>
      <c r="F40"/>
    </row>
    <row r="41" spans="1:6">
      <c r="B41" s="39"/>
      <c r="C41" s="39"/>
    </row>
    <row r="42" spans="1:6">
      <c r="B42" s="39"/>
      <c r="C42" s="39"/>
    </row>
    <row r="43" spans="1:6">
      <c r="B43" s="39"/>
      <c r="C43" s="39"/>
    </row>
    <row r="44" spans="1:6">
      <c r="B44" s="39"/>
      <c r="C44" s="39"/>
    </row>
    <row r="45" spans="1:6">
      <c r="B45" s="39"/>
      <c r="C45" s="39"/>
    </row>
    <row r="46" spans="1:6">
      <c r="B46" s="39"/>
      <c r="C46" s="39"/>
    </row>
    <row r="47" spans="1:6">
      <c r="B47" s="39"/>
      <c r="C47" s="39"/>
    </row>
    <row r="48" spans="1:6">
      <c r="B48" s="39"/>
      <c r="C48" s="39"/>
    </row>
    <row r="49" spans="2:3">
      <c r="B49" s="39"/>
      <c r="C49" s="39"/>
    </row>
    <row r="50" spans="2:3">
      <c r="B50" s="39"/>
      <c r="C50" s="39"/>
    </row>
    <row r="51" spans="2:3">
      <c r="B51" s="39"/>
      <c r="C51" s="39"/>
    </row>
    <row r="52" spans="2:3">
      <c r="B52" s="39"/>
      <c r="C52" s="39"/>
    </row>
    <row r="53" spans="2:3">
      <c r="B53" s="39"/>
      <c r="C53" s="39"/>
    </row>
    <row r="54" spans="2:3">
      <c r="B54" s="39"/>
      <c r="C54" s="39"/>
    </row>
    <row r="55" spans="2:3">
      <c r="B55" s="39"/>
      <c r="C55" s="39"/>
    </row>
    <row r="56" spans="2:3">
      <c r="B56" s="39"/>
      <c r="C56" s="39"/>
    </row>
    <row r="57" spans="2:3">
      <c r="B57" s="39"/>
      <c r="C57" s="39"/>
    </row>
    <row r="58" spans="2:3">
      <c r="B58" s="39"/>
      <c r="C58" s="39"/>
    </row>
    <row r="59" spans="2:3">
      <c r="B59" s="39"/>
      <c r="C59" s="39"/>
    </row>
    <row r="60" spans="2:3">
      <c r="B60" s="39"/>
      <c r="C60" s="39"/>
    </row>
    <row r="61" spans="2:3">
      <c r="B61" s="39"/>
      <c r="C61" s="39"/>
    </row>
    <row r="62" spans="2:3">
      <c r="B62" s="39"/>
      <c r="C62" s="39"/>
    </row>
    <row r="63" spans="2:3">
      <c r="B63" s="39"/>
      <c r="C63" s="39"/>
    </row>
    <row r="64" spans="2:3">
      <c r="B64" s="39"/>
      <c r="C64" s="39"/>
    </row>
    <row r="65" spans="2:3">
      <c r="B65" s="39"/>
      <c r="C65" s="39"/>
    </row>
    <row r="66" spans="2:3">
      <c r="B66" s="39"/>
      <c r="C66" s="39"/>
    </row>
    <row r="67" spans="2:3">
      <c r="B67" s="39"/>
      <c r="C67" s="39"/>
    </row>
    <row r="68" spans="2:3">
      <c r="B68" s="39"/>
      <c r="C68" s="39"/>
    </row>
    <row r="69" spans="2:3">
      <c r="B69" s="39"/>
      <c r="C69" s="39"/>
    </row>
    <row r="70" spans="2:3">
      <c r="B70" s="39"/>
      <c r="C70" s="39"/>
    </row>
    <row r="71" spans="2:3">
      <c r="B71" s="39"/>
      <c r="C71" s="39"/>
    </row>
    <row r="72" spans="2:3">
      <c r="B72" s="39"/>
      <c r="C72" s="39"/>
    </row>
    <row r="73" spans="2:3">
      <c r="B73" s="39"/>
      <c r="C73" s="39"/>
    </row>
    <row r="74" spans="2:3">
      <c r="B74" s="39"/>
      <c r="C74" s="39"/>
    </row>
    <row r="75" spans="2:3">
      <c r="B75" s="39"/>
      <c r="C75" s="39"/>
    </row>
    <row r="76" spans="2:3">
      <c r="B76" s="39"/>
      <c r="C76" s="39"/>
    </row>
    <row r="77" spans="2:3">
      <c r="B77" s="39"/>
      <c r="C77" s="39"/>
    </row>
    <row r="78" spans="2:3">
      <c r="B78" s="39"/>
      <c r="C78" s="39"/>
    </row>
    <row r="79" spans="2:3">
      <c r="B79" s="39"/>
      <c r="C79" s="39"/>
    </row>
    <row r="80" spans="2:3">
      <c r="B80" s="39"/>
      <c r="C80" s="39"/>
    </row>
    <row r="81" spans="2:3">
      <c r="B81" s="39"/>
      <c r="C81" s="39"/>
    </row>
    <row r="82" spans="2:3">
      <c r="B82" s="39"/>
      <c r="C82" s="39"/>
    </row>
    <row r="83" spans="2:3">
      <c r="B83" s="39"/>
      <c r="C83" s="39"/>
    </row>
    <row r="84" spans="2:3">
      <c r="B84" s="39"/>
      <c r="C84" s="39"/>
    </row>
    <row r="85" spans="2:3">
      <c r="B85" s="39"/>
      <c r="C85" s="39"/>
    </row>
    <row r="86" spans="2:3">
      <c r="B86" s="39"/>
      <c r="C86" s="39"/>
    </row>
    <row r="87" spans="2:3">
      <c r="B87" s="39"/>
      <c r="C87" s="39"/>
    </row>
    <row r="88" spans="2:3">
      <c r="B88" s="39"/>
      <c r="C88" s="39"/>
    </row>
    <row r="89" spans="2:3">
      <c r="B89" s="39"/>
      <c r="C89" s="39"/>
    </row>
    <row r="90" spans="2:3">
      <c r="B90" s="39"/>
      <c r="C90" s="39"/>
    </row>
    <row r="91" spans="2:3">
      <c r="B91" s="39"/>
      <c r="C91" s="39"/>
    </row>
    <row r="92" spans="2:3">
      <c r="B92" s="39"/>
      <c r="C92" s="39"/>
    </row>
    <row r="93" spans="2:3">
      <c r="B93" s="39"/>
      <c r="C93" s="39"/>
    </row>
    <row r="94" spans="2:3">
      <c r="B94" s="39"/>
      <c r="C94" s="39"/>
    </row>
    <row r="95" spans="2:3">
      <c r="B95" s="39"/>
      <c r="C95" s="39"/>
    </row>
    <row r="96" spans="2:3">
      <c r="B96" s="39"/>
      <c r="C96" s="39"/>
    </row>
    <row r="97" spans="2:3">
      <c r="B97" s="39"/>
      <c r="C97" s="39"/>
    </row>
    <row r="98" spans="2:3">
      <c r="B98" s="39"/>
      <c r="C98" s="39"/>
    </row>
    <row r="99" spans="2:3">
      <c r="B99" s="39"/>
      <c r="C99" s="39"/>
    </row>
    <row r="100" spans="2:3">
      <c r="B100" s="39"/>
      <c r="C100" s="39"/>
    </row>
    <row r="101" spans="2:3">
      <c r="B101" s="39"/>
      <c r="C101" s="39"/>
    </row>
    <row r="102" spans="2:3">
      <c r="B102" s="39"/>
      <c r="C102" s="39"/>
    </row>
    <row r="103" spans="2:3">
      <c r="B103" s="39"/>
      <c r="C103" s="39"/>
    </row>
    <row r="104" spans="2:3">
      <c r="B104" s="39"/>
      <c r="C104" s="39"/>
    </row>
    <row r="105" spans="2:3">
      <c r="B105" s="39"/>
      <c r="C105" s="39"/>
    </row>
    <row r="106" spans="2:3">
      <c r="B106" s="39"/>
      <c r="C106" s="39"/>
    </row>
    <row r="107" spans="2:3">
      <c r="B107" s="39"/>
      <c r="C107" s="39"/>
    </row>
    <row r="108" spans="2:3">
      <c r="B108" s="39"/>
      <c r="C108" s="39"/>
    </row>
    <row r="109" spans="2:3">
      <c r="B109" s="39"/>
      <c r="C109" s="39"/>
    </row>
    <row r="110" spans="2:3">
      <c r="B110" s="39"/>
      <c r="C110" s="39"/>
    </row>
    <row r="111" spans="2:3">
      <c r="B111" s="39"/>
      <c r="C111" s="39"/>
    </row>
    <row r="112" spans="2:3">
      <c r="B112" s="39"/>
      <c r="C112" s="39"/>
    </row>
    <row r="113" spans="2:3">
      <c r="B113" s="39"/>
      <c r="C113" s="39"/>
    </row>
    <row r="114" spans="2:3">
      <c r="B114" s="39"/>
      <c r="C114" s="39"/>
    </row>
    <row r="115" spans="2:3">
      <c r="B115" s="39"/>
      <c r="C115" s="39"/>
    </row>
    <row r="116" spans="2:3">
      <c r="B116" s="39"/>
      <c r="C116" s="39"/>
    </row>
    <row r="117" spans="2:3">
      <c r="B117" s="39"/>
      <c r="C117" s="39"/>
    </row>
    <row r="118" spans="2:3">
      <c r="B118" s="39"/>
      <c r="C118" s="39"/>
    </row>
    <row r="119" spans="2:3">
      <c r="B119" s="39"/>
      <c r="C119" s="39"/>
    </row>
    <row r="120" spans="2:3">
      <c r="B120" s="39"/>
      <c r="C120" s="39"/>
    </row>
    <row r="121" spans="2:3">
      <c r="B121" s="39"/>
      <c r="C121" s="39"/>
    </row>
    <row r="122" spans="2:3">
      <c r="B122" s="39"/>
      <c r="C122" s="39"/>
    </row>
    <row r="123" spans="2:3">
      <c r="B123" s="39"/>
      <c r="C123" s="39"/>
    </row>
    <row r="124" spans="2:3">
      <c r="B124" s="39"/>
      <c r="C124" s="39"/>
    </row>
    <row r="125" spans="2:3">
      <c r="B125" s="39"/>
      <c r="C125" s="39"/>
    </row>
    <row r="126" spans="2:3">
      <c r="B126" s="39"/>
      <c r="C126" s="39"/>
    </row>
    <row r="127" spans="2:3">
      <c r="B127" s="39"/>
      <c r="C127" s="39"/>
    </row>
    <row r="128" spans="2:3">
      <c r="B128" s="39"/>
      <c r="C128" s="39"/>
    </row>
    <row r="129" spans="2:3">
      <c r="B129" s="39"/>
      <c r="C129" s="39"/>
    </row>
    <row r="130" spans="2:3">
      <c r="B130" s="39"/>
      <c r="C130" s="39"/>
    </row>
    <row r="131" spans="2:3">
      <c r="B131" s="39"/>
      <c r="C131" s="39"/>
    </row>
    <row r="132" spans="2:3">
      <c r="B132" s="39"/>
      <c r="C132" s="39"/>
    </row>
    <row r="133" spans="2:3">
      <c r="B133" s="39"/>
      <c r="C133" s="39"/>
    </row>
    <row r="134" spans="2:3">
      <c r="B134" s="39"/>
      <c r="C134" s="39"/>
    </row>
    <row r="135" spans="2:3">
      <c r="B135" s="39"/>
      <c r="C135" s="39"/>
    </row>
    <row r="136" spans="2:3">
      <c r="B136" s="39"/>
      <c r="C136" s="39"/>
    </row>
    <row r="137" spans="2:3">
      <c r="B137" s="39"/>
      <c r="C137" s="39"/>
    </row>
    <row r="138" spans="2:3">
      <c r="B138" s="39"/>
      <c r="C138" s="39"/>
    </row>
    <row r="139" spans="2:3">
      <c r="B139" s="39"/>
      <c r="C139" s="39"/>
    </row>
    <row r="140" spans="2:3">
      <c r="B140" s="39"/>
      <c r="C140" s="39"/>
    </row>
    <row r="141" spans="2:3">
      <c r="B141" s="39"/>
      <c r="C141" s="39"/>
    </row>
    <row r="142" spans="2:3">
      <c r="B142" s="39"/>
      <c r="C142" s="39"/>
    </row>
    <row r="143" spans="2:3">
      <c r="B143" s="39"/>
      <c r="C143" s="39"/>
    </row>
    <row r="144" spans="2:3">
      <c r="B144" s="39"/>
      <c r="C144" s="39"/>
    </row>
    <row r="145" spans="2:3">
      <c r="B145" s="39"/>
      <c r="C145" s="39"/>
    </row>
    <row r="146" spans="2:3">
      <c r="B146" s="39"/>
      <c r="C146" s="39"/>
    </row>
    <row r="147" spans="2:3">
      <c r="B147" s="39"/>
      <c r="C147" s="39"/>
    </row>
    <row r="148" spans="2:3">
      <c r="B148" s="39"/>
      <c r="C148" s="39"/>
    </row>
    <row r="149" spans="2:3">
      <c r="B149" s="39"/>
      <c r="C149" s="39"/>
    </row>
    <row r="150" spans="2:3">
      <c r="B150" s="39"/>
      <c r="C150" s="39"/>
    </row>
    <row r="151" spans="2:3">
      <c r="B151" s="39"/>
      <c r="C151" s="39"/>
    </row>
    <row r="152" spans="2:3">
      <c r="B152" s="39"/>
      <c r="C152" s="39"/>
    </row>
    <row r="153" spans="2:3">
      <c r="B153" s="39"/>
      <c r="C153" s="39"/>
    </row>
    <row r="154" spans="2:3">
      <c r="B154" s="39"/>
      <c r="C154" s="39"/>
    </row>
    <row r="155" spans="2:3">
      <c r="B155" s="39"/>
      <c r="C155" s="39"/>
    </row>
    <row r="156" spans="2:3">
      <c r="B156" s="39"/>
      <c r="C156" s="39"/>
    </row>
    <row r="157" spans="2:3">
      <c r="B157" s="39"/>
      <c r="C157" s="39"/>
    </row>
    <row r="158" spans="2:3">
      <c r="B158" s="39"/>
      <c r="C158" s="39"/>
    </row>
    <row r="159" spans="2:3">
      <c r="B159" s="39"/>
      <c r="C159" s="39"/>
    </row>
    <row r="160" spans="2:3">
      <c r="B160" s="39"/>
      <c r="C160" s="39"/>
    </row>
    <row r="161" spans="2:3">
      <c r="B161" s="39"/>
      <c r="C161" s="39"/>
    </row>
    <row r="162" spans="2:3">
      <c r="B162" s="39"/>
      <c r="C162" s="39"/>
    </row>
    <row r="163" spans="2:3">
      <c r="B163" s="39"/>
      <c r="C163" s="39"/>
    </row>
    <row r="164" spans="2:3">
      <c r="B164" s="39"/>
      <c r="C164" s="39"/>
    </row>
    <row r="165" spans="2:3">
      <c r="B165" s="39"/>
      <c r="C165" s="39"/>
    </row>
    <row r="166" spans="2:3">
      <c r="B166" s="39"/>
      <c r="C166" s="39"/>
    </row>
    <row r="167" spans="2:3">
      <c r="B167" s="39"/>
      <c r="C167" s="39"/>
    </row>
    <row r="168" spans="2:3">
      <c r="B168" s="39"/>
      <c r="C168" s="39"/>
    </row>
    <row r="169" spans="2:3">
      <c r="B169" s="39"/>
      <c r="C169" s="39"/>
    </row>
    <row r="170" spans="2:3">
      <c r="B170" s="39"/>
      <c r="C170" s="39"/>
    </row>
    <row r="171" spans="2:3">
      <c r="B171" s="39"/>
      <c r="C171" s="39"/>
    </row>
    <row r="172" spans="2:3">
      <c r="B172" s="39"/>
      <c r="C172" s="39"/>
    </row>
    <row r="173" spans="2:3">
      <c r="B173" s="39"/>
      <c r="C173" s="39"/>
    </row>
    <row r="174" spans="2:3">
      <c r="B174" s="39"/>
      <c r="C174" s="39"/>
    </row>
    <row r="175" spans="2:3">
      <c r="B175" s="39"/>
      <c r="C175" s="39"/>
    </row>
    <row r="176" spans="2:3">
      <c r="B176" s="39"/>
      <c r="C176" s="39"/>
    </row>
    <row r="177" spans="2:3">
      <c r="B177" s="39"/>
      <c r="C177" s="39"/>
    </row>
    <row r="178" spans="2:3">
      <c r="B178" s="39"/>
      <c r="C178" s="39"/>
    </row>
    <row r="179" spans="2:3">
      <c r="B179" s="39"/>
      <c r="C179" s="39"/>
    </row>
    <row r="180" spans="2:3">
      <c r="B180" s="39"/>
      <c r="C180" s="39"/>
    </row>
    <row r="181" spans="2:3">
      <c r="B181" s="39"/>
      <c r="C181" s="39"/>
    </row>
    <row r="182" spans="2:3">
      <c r="B182" s="39"/>
      <c r="C182" s="39"/>
    </row>
    <row r="183" spans="2:3">
      <c r="B183" s="39"/>
      <c r="C183" s="39"/>
    </row>
    <row r="184" spans="2:3">
      <c r="B184" s="39"/>
      <c r="C184" s="39"/>
    </row>
    <row r="185" spans="2:3">
      <c r="B185" s="39"/>
      <c r="C185" s="39"/>
    </row>
    <row r="186" spans="2:3">
      <c r="B186" s="39"/>
      <c r="C186" s="39"/>
    </row>
    <row r="187" spans="2:3">
      <c r="B187" s="39"/>
      <c r="C187" s="39"/>
    </row>
    <row r="188" spans="2:3">
      <c r="B188" s="39"/>
      <c r="C188" s="39"/>
    </row>
    <row r="189" spans="2:3">
      <c r="B189" s="39"/>
      <c r="C189" s="39"/>
    </row>
    <row r="190" spans="2:3">
      <c r="B190" s="39"/>
      <c r="C190" s="39"/>
    </row>
    <row r="191" spans="2:3">
      <c r="B191" s="39"/>
      <c r="C191" s="39"/>
    </row>
    <row r="192" spans="2:3">
      <c r="B192" s="39"/>
      <c r="C192" s="39"/>
    </row>
    <row r="193" spans="2:3">
      <c r="B193" s="39"/>
      <c r="C193" s="39"/>
    </row>
    <row r="194" spans="2:3">
      <c r="B194" s="39"/>
      <c r="C194" s="39"/>
    </row>
    <row r="195" spans="2:3">
      <c r="B195" s="39"/>
      <c r="C195" s="39"/>
    </row>
    <row r="196" spans="2:3">
      <c r="B196" s="39"/>
      <c r="C196" s="39"/>
    </row>
    <row r="197" spans="2:3">
      <c r="B197" s="39"/>
      <c r="C197" s="39"/>
    </row>
    <row r="198" spans="2:3">
      <c r="B198" s="39"/>
      <c r="C198" s="39"/>
    </row>
    <row r="199" spans="2:3">
      <c r="B199" s="39"/>
      <c r="C199" s="39"/>
    </row>
    <row r="200" spans="2:3">
      <c r="B200" s="39"/>
      <c r="C200" s="39"/>
    </row>
    <row r="201" spans="2:3">
      <c r="B201" s="39"/>
      <c r="C201" s="39"/>
    </row>
    <row r="202" spans="2:3">
      <c r="B202" s="39"/>
      <c r="C202" s="39"/>
    </row>
    <row r="203" spans="2:3">
      <c r="B203" s="39"/>
      <c r="C203" s="39"/>
    </row>
    <row r="204" spans="2:3">
      <c r="B204" s="39"/>
      <c r="C204" s="39"/>
    </row>
    <row r="205" spans="2:3">
      <c r="B205" s="39"/>
      <c r="C205" s="39"/>
    </row>
    <row r="206" spans="2:3">
      <c r="B206" s="39"/>
      <c r="C206" s="39"/>
    </row>
    <row r="207" spans="2:3">
      <c r="B207" s="39"/>
      <c r="C207" s="39"/>
    </row>
    <row r="208" spans="2:3">
      <c r="B208" s="39"/>
      <c r="C208" s="39"/>
    </row>
    <row r="209" spans="2:3">
      <c r="B209" s="39"/>
      <c r="C209" s="39"/>
    </row>
    <row r="210" spans="2:3">
      <c r="B210" s="39"/>
      <c r="C210" s="39"/>
    </row>
    <row r="211" spans="2:3">
      <c r="B211" s="39"/>
      <c r="C211" s="39"/>
    </row>
    <row r="212" spans="2:3">
      <c r="B212" s="39"/>
      <c r="C212" s="39"/>
    </row>
    <row r="213" spans="2:3">
      <c r="B213" s="39"/>
      <c r="C213" s="39"/>
    </row>
    <row r="214" spans="2:3">
      <c r="B214" s="39"/>
      <c r="C214" s="39"/>
    </row>
    <row r="215" spans="2:3">
      <c r="B215" s="39"/>
      <c r="C215" s="39"/>
    </row>
    <row r="216" spans="2:3">
      <c r="B216" s="39"/>
      <c r="C216" s="39"/>
    </row>
    <row r="217" spans="2:3">
      <c r="B217" s="39"/>
      <c r="C217" s="39"/>
    </row>
    <row r="218" spans="2:3">
      <c r="B218" s="39"/>
      <c r="C218" s="39"/>
    </row>
    <row r="219" spans="2:3">
      <c r="B219" s="39"/>
      <c r="C219" s="39"/>
    </row>
    <row r="220" spans="2:3">
      <c r="B220" s="39"/>
      <c r="C220" s="39"/>
    </row>
    <row r="221" spans="2:3">
      <c r="B221" s="39"/>
      <c r="C221" s="39"/>
    </row>
    <row r="222" spans="2:3">
      <c r="B222" s="39"/>
      <c r="C222" s="39"/>
    </row>
    <row r="223" spans="2:3">
      <c r="B223" s="39"/>
      <c r="C223" s="39"/>
    </row>
    <row r="224" spans="2:3">
      <c r="B224" s="39"/>
      <c r="C224" s="39"/>
    </row>
    <row r="225" spans="2:3">
      <c r="B225" s="39"/>
      <c r="C225" s="39"/>
    </row>
    <row r="226" spans="2:3">
      <c r="B226" s="39"/>
      <c r="C226" s="39"/>
    </row>
    <row r="227" spans="2:3">
      <c r="B227" s="39"/>
      <c r="C227" s="39"/>
    </row>
    <row r="228" spans="2:3">
      <c r="B228" s="39"/>
      <c r="C228" s="39"/>
    </row>
    <row r="229" spans="2:3">
      <c r="B229" s="39"/>
      <c r="C229" s="39"/>
    </row>
    <row r="230" spans="2:3">
      <c r="B230" s="39"/>
      <c r="C230" s="39"/>
    </row>
    <row r="231" spans="2:3">
      <c r="B231" s="39"/>
      <c r="C231" s="39"/>
    </row>
    <row r="232" spans="2:3">
      <c r="B232" s="39"/>
      <c r="C232" s="39"/>
    </row>
    <row r="233" spans="2:3">
      <c r="B233" s="39"/>
      <c r="C233" s="39"/>
    </row>
    <row r="234" spans="2:3">
      <c r="B234" s="39"/>
      <c r="C234" s="39"/>
    </row>
    <row r="235" spans="2:3">
      <c r="B235" s="39"/>
      <c r="C235" s="39"/>
    </row>
    <row r="236" spans="2:3">
      <c r="B236" s="39"/>
      <c r="C236" s="39"/>
    </row>
    <row r="237" spans="2:3">
      <c r="B237" s="39"/>
      <c r="C237" s="39"/>
    </row>
    <row r="238" spans="2:3">
      <c r="B238" s="39"/>
      <c r="C238" s="3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170BD-76BD-4D22-A420-B1C62EF3A4F1}">
  <dimension ref="A3:E21"/>
  <sheetViews>
    <sheetView workbookViewId="0">
      <selection activeCell="B21" sqref="B21"/>
    </sheetView>
  </sheetViews>
  <sheetFormatPr defaultRowHeight="12.75"/>
  <cols>
    <col min="2" max="2" width="23.5703125" customWidth="1"/>
    <col min="5" max="5" width="14" customWidth="1"/>
  </cols>
  <sheetData>
    <row r="3" spans="1:5">
      <c r="B3" t="s">
        <v>67</v>
      </c>
      <c r="C3" t="s">
        <v>68</v>
      </c>
      <c r="D3" t="s">
        <v>69</v>
      </c>
      <c r="E3" t="s">
        <v>70</v>
      </c>
    </row>
    <row r="4" spans="1:5" ht="18" customHeight="1">
      <c r="B4" s="42" t="s">
        <v>71</v>
      </c>
      <c r="C4">
        <v>12</v>
      </c>
      <c r="D4">
        <v>85</v>
      </c>
      <c r="E4" t="s">
        <v>72</v>
      </c>
    </row>
    <row r="5" spans="1:5" ht="17.25">
      <c r="B5" s="42" t="s">
        <v>73</v>
      </c>
      <c r="C5">
        <v>11</v>
      </c>
      <c r="D5">
        <v>72</v>
      </c>
      <c r="E5" t="s">
        <v>72</v>
      </c>
    </row>
    <row r="6" spans="1:5" ht="17.25">
      <c r="B6" s="42" t="s">
        <v>74</v>
      </c>
      <c r="C6">
        <v>13</v>
      </c>
      <c r="D6">
        <v>60</v>
      </c>
      <c r="E6" t="s">
        <v>72</v>
      </c>
    </row>
    <row r="7" spans="1:5" ht="17.25">
      <c r="B7" s="42" t="s">
        <v>75</v>
      </c>
      <c r="C7">
        <v>12</v>
      </c>
      <c r="D7">
        <v>95</v>
      </c>
      <c r="E7" t="s">
        <v>72</v>
      </c>
    </row>
    <row r="8" spans="1:5" ht="17.25">
      <c r="B8" s="42" t="s">
        <v>76</v>
      </c>
      <c r="C8">
        <v>14</v>
      </c>
      <c r="D8">
        <v>88</v>
      </c>
      <c r="E8" t="s">
        <v>72</v>
      </c>
    </row>
    <row r="9" spans="1:5" ht="19.5" customHeight="1">
      <c r="B9" s="42" t="s">
        <v>77</v>
      </c>
      <c r="C9">
        <v>12</v>
      </c>
      <c r="D9">
        <v>99</v>
      </c>
      <c r="E9" t="s">
        <v>72</v>
      </c>
    </row>
    <row r="10" spans="1:5" ht="17.25">
      <c r="B10" s="42" t="s">
        <v>78</v>
      </c>
      <c r="C10">
        <v>11</v>
      </c>
      <c r="D10">
        <v>75</v>
      </c>
      <c r="E10" t="s">
        <v>72</v>
      </c>
    </row>
    <row r="11" spans="1:5" ht="18" customHeight="1">
      <c r="B11" s="42" t="s">
        <v>79</v>
      </c>
      <c r="C11">
        <v>13</v>
      </c>
      <c r="D11">
        <v>100</v>
      </c>
      <c r="E11" t="s">
        <v>72</v>
      </c>
    </row>
    <row r="12" spans="1:5" ht="17.25">
      <c r="B12" s="42" t="s">
        <v>80</v>
      </c>
      <c r="C12">
        <v>13</v>
      </c>
      <c r="D12">
        <v>75</v>
      </c>
      <c r="E12" t="s">
        <v>72</v>
      </c>
    </row>
    <row r="13" spans="1:5" ht="17.25">
      <c r="B13" s="42" t="s">
        <v>81</v>
      </c>
      <c r="C13">
        <v>15</v>
      </c>
      <c r="D13">
        <v>85</v>
      </c>
      <c r="E13" t="s">
        <v>72</v>
      </c>
    </row>
    <row r="14" spans="1:5" ht="17.25">
      <c r="B14" s="42" t="s">
        <v>82</v>
      </c>
      <c r="C14">
        <v>11</v>
      </c>
      <c r="D14">
        <v>85</v>
      </c>
      <c r="E14" t="s">
        <v>72</v>
      </c>
    </row>
    <row r="16" spans="1:5">
      <c r="A16" t="s">
        <v>83</v>
      </c>
      <c r="C16">
        <f>MIN(C4:C14)</f>
        <v>11</v>
      </c>
      <c r="D16">
        <f>MIN(D4:D14)</f>
        <v>60</v>
      </c>
    </row>
    <row r="17" spans="1:4">
      <c r="A17" t="s">
        <v>84</v>
      </c>
      <c r="C17">
        <f>MAX(C4:C14)</f>
        <v>15</v>
      </c>
      <c r="D17">
        <f>MAX(D4:D14)</f>
        <v>100</v>
      </c>
    </row>
    <row r="18" spans="1:4">
      <c r="A18" t="s">
        <v>85</v>
      </c>
      <c r="C18">
        <f>AVERAGE(C4:C14)</f>
        <v>12.454545454545455</v>
      </c>
      <c r="D18">
        <f>AVERAGE(D4:D14)</f>
        <v>83.545454545454547</v>
      </c>
    </row>
    <row r="19" spans="1:4">
      <c r="A19" t="s">
        <v>86</v>
      </c>
      <c r="C19">
        <f>MODE(C4:C14)</f>
        <v>12</v>
      </c>
      <c r="D19">
        <f>MODE(D4:D14)</f>
        <v>85</v>
      </c>
    </row>
    <row r="20" spans="1:4">
      <c r="A20" t="s">
        <v>87</v>
      </c>
      <c r="C20">
        <f>MEDIAN(C4:C14)</f>
        <v>12</v>
      </c>
      <c r="D20">
        <f>MEDIAN(D4:D14)</f>
        <v>85</v>
      </c>
    </row>
    <row r="21" spans="1:4">
      <c r="A21" t="s">
        <v>88</v>
      </c>
      <c r="B21">
        <f>COUNTA(B4:B14)</f>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D5BA-35D1-4877-8022-994D8A6C1915}">
  <dimension ref="A1:G8"/>
  <sheetViews>
    <sheetView tabSelected="1" workbookViewId="0">
      <selection activeCell="G4" activeCellId="2" sqref="A4:A8 B4:B8 G4:G8"/>
    </sheetView>
  </sheetViews>
  <sheetFormatPr defaultRowHeight="12.75"/>
  <cols>
    <col min="1" max="2" width="10.85546875" customWidth="1"/>
    <col min="3" max="3" width="11.85546875" customWidth="1"/>
    <col min="5" max="5" width="11.7109375" customWidth="1"/>
    <col min="6" max="6" width="16.7109375" customWidth="1"/>
    <col min="7" max="7" width="15.7109375" customWidth="1"/>
  </cols>
  <sheetData>
    <row r="1" spans="1:7">
      <c r="A1" t="s">
        <v>89</v>
      </c>
    </row>
    <row r="3" spans="1:7">
      <c r="A3" t="s">
        <v>90</v>
      </c>
      <c r="B3" t="s">
        <v>91</v>
      </c>
      <c r="C3" t="s">
        <v>92</v>
      </c>
      <c r="D3" t="s">
        <v>93</v>
      </c>
      <c r="E3" t="s">
        <v>94</v>
      </c>
      <c r="F3" t="s">
        <v>95</v>
      </c>
      <c r="G3" t="s">
        <v>96</v>
      </c>
    </row>
    <row r="4" spans="1:7">
      <c r="A4" t="s">
        <v>97</v>
      </c>
      <c r="B4" s="43">
        <v>2000</v>
      </c>
      <c r="C4" s="44">
        <v>0.21</v>
      </c>
      <c r="D4">
        <v>3</v>
      </c>
      <c r="E4" s="43">
        <f>B4*C4</f>
        <v>420</v>
      </c>
      <c r="F4" s="43">
        <f>B4+E4</f>
        <v>2420</v>
      </c>
      <c r="G4" s="43">
        <f>F4/D4</f>
        <v>806.66666666666663</v>
      </c>
    </row>
    <row r="5" spans="1:7">
      <c r="A5" t="s">
        <v>98</v>
      </c>
      <c r="B5" s="43">
        <v>450</v>
      </c>
      <c r="C5" s="44">
        <v>0.25</v>
      </c>
      <c r="D5">
        <v>3</v>
      </c>
      <c r="E5" s="43">
        <f t="shared" ref="E5:E8" si="0">B5*C5</f>
        <v>112.5</v>
      </c>
      <c r="F5" s="43">
        <f t="shared" ref="F5:F8" si="1">B5+E5</f>
        <v>562.5</v>
      </c>
      <c r="G5" s="43">
        <f t="shared" ref="G5:G8" si="2">F5/D5</f>
        <v>187.5</v>
      </c>
    </row>
    <row r="6" spans="1:7">
      <c r="A6" t="s">
        <v>99</v>
      </c>
      <c r="B6" s="43">
        <v>975</v>
      </c>
      <c r="C6" s="44">
        <v>0.27</v>
      </c>
      <c r="D6">
        <v>3</v>
      </c>
      <c r="E6" s="43">
        <f t="shared" si="0"/>
        <v>263.25</v>
      </c>
      <c r="F6" s="43">
        <f t="shared" si="1"/>
        <v>1238.25</v>
      </c>
      <c r="G6" s="43">
        <f t="shared" si="2"/>
        <v>412.75</v>
      </c>
    </row>
    <row r="7" spans="1:7">
      <c r="A7" t="s">
        <v>100</v>
      </c>
      <c r="B7" s="43">
        <v>1500</v>
      </c>
      <c r="C7" s="44">
        <v>0.15</v>
      </c>
      <c r="D7">
        <v>3</v>
      </c>
      <c r="E7" s="43">
        <f t="shared" si="0"/>
        <v>225</v>
      </c>
      <c r="F7" s="43">
        <f t="shared" si="1"/>
        <v>1725</v>
      </c>
      <c r="G7" s="43">
        <f t="shared" si="2"/>
        <v>575</v>
      </c>
    </row>
    <row r="8" spans="1:7">
      <c r="A8" t="s">
        <v>101</v>
      </c>
      <c r="B8" s="43">
        <v>780</v>
      </c>
      <c r="C8" s="44">
        <v>0.25</v>
      </c>
      <c r="D8">
        <v>3</v>
      </c>
      <c r="E8" s="43">
        <f t="shared" si="0"/>
        <v>195</v>
      </c>
      <c r="F8" s="43">
        <f t="shared" si="1"/>
        <v>975</v>
      </c>
      <c r="G8" s="43">
        <f t="shared" si="2"/>
        <v>325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0"/>
  <sheetViews>
    <sheetView zoomScaleNormal="100" workbookViewId="0">
      <pane ySplit="2" topLeftCell="A175" activePane="bottomLeft" state="frozen"/>
      <selection pane="bottomLeft" activeCell="E228" sqref="E228"/>
    </sheetView>
  </sheetViews>
  <sheetFormatPr defaultColWidth="9.140625" defaultRowHeight="15" customHeight="1"/>
  <cols>
    <col min="1" max="1" width="14.85546875" style="21" bestFit="1" customWidth="1"/>
    <col min="2" max="2" width="21.42578125" style="12" bestFit="1" customWidth="1"/>
    <col min="3" max="3" width="17.85546875" style="12" bestFit="1" customWidth="1"/>
    <col min="4" max="4" width="29.85546875" style="12" bestFit="1" customWidth="1"/>
    <col min="5" max="5" width="15.42578125" style="22" bestFit="1" customWidth="1"/>
    <col min="6" max="6" width="14" style="14" customWidth="1"/>
    <col min="7" max="7" width="9" style="14" bestFit="1" customWidth="1"/>
    <col min="8" max="8" width="11" style="14" customWidth="1"/>
    <col min="9" max="9" width="14.85546875" style="23" bestFit="1" customWidth="1"/>
    <col min="10" max="16384" width="9.140625" style="12"/>
  </cols>
  <sheetData>
    <row r="1" spans="1:9" ht="15" customHeight="1">
      <c r="A1" s="11" t="s">
        <v>102</v>
      </c>
      <c r="E1" s="13"/>
      <c r="I1" s="14"/>
    </row>
    <row r="2" spans="1:9" s="15" customFormat="1" ht="45.75">
      <c r="A2" s="25" t="s">
        <v>25</v>
      </c>
      <c r="B2" s="26" t="s">
        <v>26</v>
      </c>
      <c r="C2" s="26" t="s">
        <v>27</v>
      </c>
      <c r="D2" s="26" t="s">
        <v>28</v>
      </c>
      <c r="E2" s="27" t="s">
        <v>29</v>
      </c>
      <c r="F2" s="28" t="s">
        <v>30</v>
      </c>
      <c r="G2" s="28" t="s">
        <v>31</v>
      </c>
      <c r="H2" s="28" t="s">
        <v>32</v>
      </c>
      <c r="I2" s="28" t="s">
        <v>33</v>
      </c>
    </row>
    <row r="3" spans="1:9" ht="15" customHeight="1">
      <c r="A3" s="16">
        <v>40588</v>
      </c>
      <c r="B3" s="17" t="s">
        <v>42</v>
      </c>
      <c r="C3" s="17" t="s">
        <v>103</v>
      </c>
      <c r="D3" s="17" t="s">
        <v>104</v>
      </c>
      <c r="E3" s="18">
        <v>5100</v>
      </c>
      <c r="F3" s="19" t="s">
        <v>37</v>
      </c>
      <c r="G3" s="19" t="s">
        <v>38</v>
      </c>
      <c r="H3" s="19" t="s">
        <v>105</v>
      </c>
      <c r="I3" s="20">
        <v>40604</v>
      </c>
    </row>
    <row r="4" spans="1:9" ht="15" customHeight="1">
      <c r="A4" s="16">
        <v>40603</v>
      </c>
      <c r="B4" s="17" t="s">
        <v>52</v>
      </c>
      <c r="C4" s="17" t="s">
        <v>106</v>
      </c>
      <c r="D4" s="17" t="s">
        <v>107</v>
      </c>
      <c r="E4" s="18">
        <v>179</v>
      </c>
      <c r="F4" s="19" t="s">
        <v>37</v>
      </c>
      <c r="G4" s="19" t="s">
        <v>38</v>
      </c>
      <c r="H4" s="19" t="s">
        <v>108</v>
      </c>
      <c r="I4" s="20">
        <v>40633</v>
      </c>
    </row>
    <row r="5" spans="1:9" ht="15" customHeight="1">
      <c r="A5" s="16">
        <v>40604</v>
      </c>
      <c r="B5" s="17" t="s">
        <v>49</v>
      </c>
      <c r="C5" s="17" t="s">
        <v>109</v>
      </c>
      <c r="D5" s="17" t="s">
        <v>110</v>
      </c>
      <c r="E5" s="18">
        <v>478</v>
      </c>
      <c r="F5" s="19" t="s">
        <v>37</v>
      </c>
      <c r="G5" s="19" t="s">
        <v>38</v>
      </c>
      <c r="H5" s="19" t="s">
        <v>111</v>
      </c>
      <c r="I5" s="20">
        <v>40634</v>
      </c>
    </row>
    <row r="6" spans="1:9" ht="15" customHeight="1">
      <c r="A6" s="16">
        <v>40607</v>
      </c>
      <c r="B6" s="17" t="s">
        <v>59</v>
      </c>
      <c r="C6" s="17" t="s">
        <v>112</v>
      </c>
      <c r="D6" s="17" t="s">
        <v>113</v>
      </c>
      <c r="E6" s="18">
        <v>340</v>
      </c>
      <c r="F6" s="19" t="s">
        <v>37</v>
      </c>
      <c r="G6" s="19" t="s">
        <v>38</v>
      </c>
      <c r="H6" s="19" t="s">
        <v>114</v>
      </c>
      <c r="I6" s="20">
        <v>40607</v>
      </c>
    </row>
    <row r="7" spans="1:9" ht="15" customHeight="1">
      <c r="A7" s="16">
        <v>40617</v>
      </c>
      <c r="B7" s="17" t="s">
        <v>62</v>
      </c>
      <c r="C7" s="17" t="s">
        <v>115</v>
      </c>
      <c r="D7" s="17" t="s">
        <v>116</v>
      </c>
      <c r="E7" s="18">
        <v>50</v>
      </c>
      <c r="F7" s="19" t="s">
        <v>37</v>
      </c>
      <c r="G7" s="19" t="s">
        <v>38</v>
      </c>
      <c r="H7" s="19" t="s">
        <v>117</v>
      </c>
      <c r="I7" s="20">
        <v>40617</v>
      </c>
    </row>
    <row r="8" spans="1:9" ht="15" customHeight="1">
      <c r="A8" s="16">
        <v>40617</v>
      </c>
      <c r="B8" s="17" t="s">
        <v>62</v>
      </c>
      <c r="C8" s="17" t="s">
        <v>115</v>
      </c>
      <c r="D8" s="17" t="s">
        <v>116</v>
      </c>
      <c r="E8" s="18">
        <v>35</v>
      </c>
      <c r="F8" s="19" t="s">
        <v>37</v>
      </c>
      <c r="G8" s="19" t="s">
        <v>65</v>
      </c>
      <c r="H8" s="19" t="s">
        <v>117</v>
      </c>
      <c r="I8" s="20">
        <v>40617</v>
      </c>
    </row>
    <row r="9" spans="1:9" ht="15" customHeight="1">
      <c r="A9" s="16">
        <v>40617</v>
      </c>
      <c r="B9" s="17" t="s">
        <v>34</v>
      </c>
      <c r="C9" s="17" t="s">
        <v>35</v>
      </c>
      <c r="D9" s="17" t="s">
        <v>36</v>
      </c>
      <c r="E9" s="18">
        <v>1000</v>
      </c>
      <c r="F9" s="19" t="s">
        <v>37</v>
      </c>
      <c r="G9" s="19" t="s">
        <v>38</v>
      </c>
      <c r="H9" s="19" t="s">
        <v>39</v>
      </c>
      <c r="I9" s="20">
        <v>40635</v>
      </c>
    </row>
    <row r="10" spans="1:9" ht="15" customHeight="1">
      <c r="A10" s="16">
        <v>40617</v>
      </c>
      <c r="B10" s="17" t="s">
        <v>53</v>
      </c>
      <c r="C10" s="17" t="s">
        <v>118</v>
      </c>
      <c r="D10" s="17" t="s">
        <v>119</v>
      </c>
      <c r="E10" s="18">
        <v>90</v>
      </c>
      <c r="F10" s="19" t="s">
        <v>37</v>
      </c>
      <c r="G10" s="19" t="s">
        <v>66</v>
      </c>
      <c r="H10" s="19" t="s">
        <v>120</v>
      </c>
      <c r="I10" s="20">
        <v>40617</v>
      </c>
    </row>
    <row r="11" spans="1:9" ht="15" customHeight="1">
      <c r="A11" s="16">
        <v>40620</v>
      </c>
      <c r="B11" s="17" t="s">
        <v>46</v>
      </c>
      <c r="C11" s="17" t="s">
        <v>121</v>
      </c>
      <c r="D11" s="17" t="s">
        <v>122</v>
      </c>
      <c r="E11" s="18">
        <v>200</v>
      </c>
      <c r="F11" s="19" t="s">
        <v>37</v>
      </c>
      <c r="G11" s="19" t="s">
        <v>38</v>
      </c>
      <c r="H11" s="19" t="s">
        <v>123</v>
      </c>
      <c r="I11" s="20">
        <v>40620</v>
      </c>
    </row>
    <row r="12" spans="1:9" ht="15" customHeight="1">
      <c r="A12" s="16">
        <v>40622</v>
      </c>
      <c r="B12" s="17" t="s">
        <v>58</v>
      </c>
      <c r="C12" s="17" t="s">
        <v>124</v>
      </c>
      <c r="D12" s="17" t="s">
        <v>125</v>
      </c>
      <c r="E12" s="18">
        <v>-15000</v>
      </c>
      <c r="F12" s="19" t="s">
        <v>126</v>
      </c>
      <c r="G12" s="19" t="s">
        <v>65</v>
      </c>
      <c r="H12" s="19" t="s">
        <v>127</v>
      </c>
      <c r="I12" s="20">
        <v>40622</v>
      </c>
    </row>
    <row r="13" spans="1:9" ht="15" customHeight="1">
      <c r="A13" s="16">
        <v>40622</v>
      </c>
      <c r="B13" s="17" t="s">
        <v>58</v>
      </c>
      <c r="C13" s="17" t="s">
        <v>124</v>
      </c>
      <c r="D13" s="17" t="s">
        <v>125</v>
      </c>
      <c r="E13" s="18">
        <v>15000</v>
      </c>
      <c r="F13" s="19" t="s">
        <v>126</v>
      </c>
      <c r="G13" s="19" t="s">
        <v>38</v>
      </c>
      <c r="H13" s="19" t="s">
        <v>127</v>
      </c>
      <c r="I13" s="20">
        <v>40622</v>
      </c>
    </row>
    <row r="14" spans="1:9" ht="15" customHeight="1">
      <c r="A14" s="16">
        <v>40628</v>
      </c>
      <c r="B14" s="17" t="s">
        <v>58</v>
      </c>
      <c r="C14" s="17" t="s">
        <v>128</v>
      </c>
      <c r="D14" s="17" t="s">
        <v>129</v>
      </c>
      <c r="E14" s="18">
        <v>33000</v>
      </c>
      <c r="F14" s="19" t="s">
        <v>126</v>
      </c>
      <c r="G14" s="19" t="s">
        <v>65</v>
      </c>
      <c r="H14" s="19" t="s">
        <v>130</v>
      </c>
      <c r="I14" s="20">
        <v>40628</v>
      </c>
    </row>
    <row r="15" spans="1:9" ht="15" customHeight="1">
      <c r="A15" s="16">
        <v>40628</v>
      </c>
      <c r="B15" s="17" t="s">
        <v>55</v>
      </c>
      <c r="C15" s="17" t="s">
        <v>112</v>
      </c>
      <c r="D15" s="17" t="s">
        <v>131</v>
      </c>
      <c r="E15" s="18">
        <v>220</v>
      </c>
      <c r="F15" s="19" t="s">
        <v>126</v>
      </c>
      <c r="G15" s="19" t="s">
        <v>38</v>
      </c>
      <c r="H15" s="19" t="s">
        <v>132</v>
      </c>
      <c r="I15" s="20">
        <v>40628</v>
      </c>
    </row>
    <row r="16" spans="1:9" ht="15" customHeight="1">
      <c r="A16" s="16">
        <v>40628</v>
      </c>
      <c r="B16" s="17" t="s">
        <v>55</v>
      </c>
      <c r="C16" s="17" t="s">
        <v>112</v>
      </c>
      <c r="D16" s="17" t="s">
        <v>133</v>
      </c>
      <c r="E16" s="18">
        <v>100</v>
      </c>
      <c r="F16" s="19" t="s">
        <v>126</v>
      </c>
      <c r="G16" s="19" t="s">
        <v>38</v>
      </c>
      <c r="H16" s="19" t="s">
        <v>134</v>
      </c>
      <c r="I16" s="20">
        <v>40628</v>
      </c>
    </row>
    <row r="17" spans="1:9" ht="15" customHeight="1">
      <c r="A17" s="16">
        <v>40628</v>
      </c>
      <c r="B17" s="17" t="s">
        <v>48</v>
      </c>
      <c r="C17" s="17" t="s">
        <v>112</v>
      </c>
      <c r="D17" s="17" t="s">
        <v>135</v>
      </c>
      <c r="E17" s="18">
        <v>6400</v>
      </c>
      <c r="F17" s="19" t="s">
        <v>37</v>
      </c>
      <c r="G17" s="19" t="s">
        <v>38</v>
      </c>
      <c r="H17" s="19" t="s">
        <v>136</v>
      </c>
      <c r="I17" s="20">
        <v>40628</v>
      </c>
    </row>
    <row r="18" spans="1:9" ht="15" customHeight="1">
      <c r="A18" s="16">
        <v>40633</v>
      </c>
      <c r="B18" s="17" t="s">
        <v>58</v>
      </c>
      <c r="C18" s="17" t="s">
        <v>115</v>
      </c>
      <c r="D18" s="17" t="s">
        <v>137</v>
      </c>
      <c r="E18" s="18">
        <v>100</v>
      </c>
      <c r="F18" s="19" t="s">
        <v>126</v>
      </c>
      <c r="G18" s="19" t="s">
        <v>38</v>
      </c>
      <c r="H18" s="19" t="s">
        <v>127</v>
      </c>
      <c r="I18" s="20">
        <v>40633</v>
      </c>
    </row>
    <row r="19" spans="1:9" ht="15" customHeight="1">
      <c r="A19" s="16">
        <v>40633</v>
      </c>
      <c r="B19" s="17" t="s">
        <v>58</v>
      </c>
      <c r="C19" s="17" t="s">
        <v>115</v>
      </c>
      <c r="D19" s="17" t="s">
        <v>137</v>
      </c>
      <c r="E19" s="18">
        <v>-100</v>
      </c>
      <c r="F19" s="19" t="s">
        <v>126</v>
      </c>
      <c r="G19" s="19" t="s">
        <v>66</v>
      </c>
      <c r="H19" s="19" t="s">
        <v>127</v>
      </c>
      <c r="I19" s="20">
        <v>40633</v>
      </c>
    </row>
    <row r="20" spans="1:9" ht="15" customHeight="1">
      <c r="A20" s="16">
        <v>40634</v>
      </c>
      <c r="B20" s="17" t="s">
        <v>52</v>
      </c>
      <c r="C20" s="17" t="s">
        <v>138</v>
      </c>
      <c r="D20" s="17" t="s">
        <v>107</v>
      </c>
      <c r="E20" s="18">
        <v>179</v>
      </c>
      <c r="F20" s="19" t="s">
        <v>37</v>
      </c>
      <c r="G20" s="19" t="s">
        <v>38</v>
      </c>
      <c r="H20" s="19" t="s">
        <v>108</v>
      </c>
      <c r="I20" s="20">
        <v>40664</v>
      </c>
    </row>
    <row r="21" spans="1:9" ht="15" customHeight="1">
      <c r="A21" s="16">
        <v>40638</v>
      </c>
      <c r="B21" s="17" t="s">
        <v>59</v>
      </c>
      <c r="C21" s="17" t="s">
        <v>112</v>
      </c>
      <c r="D21" s="17" t="s">
        <v>113</v>
      </c>
      <c r="E21" s="18">
        <v>340</v>
      </c>
      <c r="F21" s="19" t="s">
        <v>37</v>
      </c>
      <c r="G21" s="19" t="s">
        <v>38</v>
      </c>
      <c r="H21" s="19" t="s">
        <v>114</v>
      </c>
      <c r="I21" s="20">
        <v>40638</v>
      </c>
    </row>
    <row r="22" spans="1:9" ht="15" customHeight="1">
      <c r="A22" s="16">
        <v>40645</v>
      </c>
      <c r="B22" s="17" t="s">
        <v>53</v>
      </c>
      <c r="C22" s="17" t="s">
        <v>118</v>
      </c>
      <c r="D22" s="17" t="s">
        <v>119</v>
      </c>
      <c r="E22" s="18">
        <v>87</v>
      </c>
      <c r="F22" s="19" t="s">
        <v>37</v>
      </c>
      <c r="G22" s="19" t="s">
        <v>66</v>
      </c>
      <c r="H22" s="19" t="s">
        <v>120</v>
      </c>
      <c r="I22" s="20">
        <v>40645</v>
      </c>
    </row>
    <row r="23" spans="1:9" ht="15" customHeight="1">
      <c r="A23" s="16">
        <v>40648</v>
      </c>
      <c r="B23" s="17" t="s">
        <v>62</v>
      </c>
      <c r="C23" s="17" t="s">
        <v>115</v>
      </c>
      <c r="D23" s="17" t="s">
        <v>116</v>
      </c>
      <c r="E23" s="18">
        <v>80</v>
      </c>
      <c r="F23" s="19" t="s">
        <v>37</v>
      </c>
      <c r="G23" s="19" t="s">
        <v>38</v>
      </c>
      <c r="H23" s="19" t="s">
        <v>117</v>
      </c>
      <c r="I23" s="20">
        <v>40648</v>
      </c>
    </row>
    <row r="24" spans="1:9" ht="15" customHeight="1">
      <c r="A24" s="16">
        <v>40648</v>
      </c>
      <c r="B24" s="17" t="s">
        <v>62</v>
      </c>
      <c r="C24" s="17" t="s">
        <v>115</v>
      </c>
      <c r="D24" s="17" t="s">
        <v>116</v>
      </c>
      <c r="E24" s="18">
        <v>35</v>
      </c>
      <c r="F24" s="19" t="s">
        <v>37</v>
      </c>
      <c r="G24" s="19" t="s">
        <v>65</v>
      </c>
      <c r="H24" s="19" t="s">
        <v>117</v>
      </c>
      <c r="I24" s="20">
        <v>40648</v>
      </c>
    </row>
    <row r="25" spans="1:9" ht="15" customHeight="1">
      <c r="A25" s="16">
        <v>40648</v>
      </c>
      <c r="B25" s="17" t="s">
        <v>34</v>
      </c>
      <c r="C25" s="17" t="s">
        <v>35</v>
      </c>
      <c r="D25" s="17" t="s">
        <v>36</v>
      </c>
      <c r="E25" s="18">
        <v>1000</v>
      </c>
      <c r="F25" s="19" t="s">
        <v>37</v>
      </c>
      <c r="G25" s="19" t="s">
        <v>38</v>
      </c>
      <c r="H25" s="19" t="s">
        <v>39</v>
      </c>
      <c r="I25" s="20">
        <v>40666</v>
      </c>
    </row>
    <row r="26" spans="1:9" ht="15" customHeight="1">
      <c r="A26" s="16">
        <v>40653</v>
      </c>
      <c r="B26" s="17" t="s">
        <v>58</v>
      </c>
      <c r="C26" s="17" t="s">
        <v>124</v>
      </c>
      <c r="D26" s="17" t="s">
        <v>125</v>
      </c>
      <c r="E26" s="18">
        <v>-20000</v>
      </c>
      <c r="F26" s="19" t="s">
        <v>126</v>
      </c>
      <c r="G26" s="19" t="s">
        <v>65</v>
      </c>
      <c r="H26" s="19" t="s">
        <v>127</v>
      </c>
      <c r="I26" s="20">
        <v>40653</v>
      </c>
    </row>
    <row r="27" spans="1:9" ht="15" customHeight="1">
      <c r="A27" s="16">
        <v>40653</v>
      </c>
      <c r="B27" s="17" t="s">
        <v>58</v>
      </c>
      <c r="C27" s="17" t="s">
        <v>124</v>
      </c>
      <c r="D27" s="17" t="s">
        <v>125</v>
      </c>
      <c r="E27" s="18">
        <v>20000</v>
      </c>
      <c r="F27" s="19" t="s">
        <v>126</v>
      </c>
      <c r="G27" s="19" t="s">
        <v>38</v>
      </c>
      <c r="H27" s="19" t="s">
        <v>127</v>
      </c>
      <c r="I27" s="20">
        <v>40653</v>
      </c>
    </row>
    <row r="28" spans="1:9" ht="15" customHeight="1">
      <c r="A28" s="16">
        <v>40658</v>
      </c>
      <c r="B28" s="17" t="s">
        <v>54</v>
      </c>
      <c r="C28" s="17" t="s">
        <v>139</v>
      </c>
      <c r="D28" s="17" t="s">
        <v>140</v>
      </c>
      <c r="E28" s="18">
        <v>1300</v>
      </c>
      <c r="F28" s="19" t="s">
        <v>126</v>
      </c>
      <c r="G28" s="19" t="s">
        <v>38</v>
      </c>
      <c r="H28" s="19" t="s">
        <v>141</v>
      </c>
      <c r="I28" s="20">
        <v>40658</v>
      </c>
    </row>
    <row r="29" spans="1:9" ht="15" customHeight="1">
      <c r="A29" s="16">
        <v>40659</v>
      </c>
      <c r="B29" s="17" t="s">
        <v>58</v>
      </c>
      <c r="C29" s="17" t="s">
        <v>128</v>
      </c>
      <c r="D29" s="17" t="s">
        <v>129</v>
      </c>
      <c r="E29" s="18">
        <v>20000</v>
      </c>
      <c r="F29" s="19" t="s">
        <v>126</v>
      </c>
      <c r="G29" s="19" t="s">
        <v>65</v>
      </c>
      <c r="H29" s="19" t="s">
        <v>130</v>
      </c>
      <c r="I29" s="20">
        <v>40659</v>
      </c>
    </row>
    <row r="30" spans="1:9" ht="15" customHeight="1">
      <c r="A30" s="16">
        <v>40659</v>
      </c>
      <c r="B30" s="17" t="s">
        <v>57</v>
      </c>
      <c r="C30" s="17" t="s">
        <v>35</v>
      </c>
      <c r="D30" s="17" t="s">
        <v>142</v>
      </c>
      <c r="E30" s="18">
        <v>3000</v>
      </c>
      <c r="F30" s="19" t="s">
        <v>37</v>
      </c>
      <c r="G30" s="19" t="s">
        <v>38</v>
      </c>
      <c r="H30" s="19" t="s">
        <v>143</v>
      </c>
      <c r="I30" s="20">
        <v>40689</v>
      </c>
    </row>
    <row r="31" spans="1:9" ht="15" customHeight="1">
      <c r="A31" s="16">
        <v>40659</v>
      </c>
      <c r="B31" s="17" t="s">
        <v>55</v>
      </c>
      <c r="C31" s="17" t="s">
        <v>112</v>
      </c>
      <c r="D31" s="17" t="s">
        <v>131</v>
      </c>
      <c r="E31" s="18">
        <v>220</v>
      </c>
      <c r="F31" s="19" t="s">
        <v>126</v>
      </c>
      <c r="G31" s="19" t="s">
        <v>38</v>
      </c>
      <c r="H31" s="19" t="s">
        <v>132</v>
      </c>
      <c r="I31" s="20">
        <v>40659</v>
      </c>
    </row>
    <row r="32" spans="1:9" ht="15" customHeight="1">
      <c r="A32" s="16">
        <v>40659</v>
      </c>
      <c r="B32" s="17" t="s">
        <v>55</v>
      </c>
      <c r="C32" s="17" t="s">
        <v>112</v>
      </c>
      <c r="D32" s="17" t="s">
        <v>133</v>
      </c>
      <c r="E32" s="18">
        <v>100</v>
      </c>
      <c r="F32" s="19" t="s">
        <v>126</v>
      </c>
      <c r="G32" s="19" t="s">
        <v>38</v>
      </c>
      <c r="H32" s="19" t="s">
        <v>134</v>
      </c>
      <c r="I32" s="20">
        <v>40659</v>
      </c>
    </row>
    <row r="33" spans="1:9" ht="15" customHeight="1">
      <c r="A33" s="16">
        <v>40659</v>
      </c>
      <c r="B33" s="17" t="s">
        <v>48</v>
      </c>
      <c r="C33" s="17" t="s">
        <v>112</v>
      </c>
      <c r="D33" s="17" t="s">
        <v>135</v>
      </c>
      <c r="E33" s="18">
        <v>6400</v>
      </c>
      <c r="F33" s="19" t="s">
        <v>37</v>
      </c>
      <c r="G33" s="19" t="s">
        <v>38</v>
      </c>
      <c r="H33" s="19" t="s">
        <v>136</v>
      </c>
      <c r="I33" s="20">
        <v>40659</v>
      </c>
    </row>
    <row r="34" spans="1:9" ht="15" customHeight="1">
      <c r="A34" s="16">
        <v>40662</v>
      </c>
      <c r="B34" s="17" t="s">
        <v>56</v>
      </c>
      <c r="C34" s="17" t="s">
        <v>144</v>
      </c>
      <c r="D34" s="17" t="s">
        <v>145</v>
      </c>
      <c r="E34" s="18">
        <v>41</v>
      </c>
      <c r="F34" s="19" t="s">
        <v>37</v>
      </c>
      <c r="G34" s="19" t="s">
        <v>66</v>
      </c>
      <c r="H34" s="19" t="s">
        <v>146</v>
      </c>
      <c r="I34" s="20">
        <v>40692</v>
      </c>
    </row>
    <row r="35" spans="1:9" ht="15" customHeight="1">
      <c r="A35" s="16">
        <v>40663</v>
      </c>
      <c r="B35" s="17" t="s">
        <v>58</v>
      </c>
      <c r="C35" s="17" t="s">
        <v>115</v>
      </c>
      <c r="D35" s="17" t="s">
        <v>137</v>
      </c>
      <c r="E35" s="18">
        <v>100</v>
      </c>
      <c r="F35" s="19" t="s">
        <v>126</v>
      </c>
      <c r="G35" s="19" t="s">
        <v>38</v>
      </c>
      <c r="H35" s="19" t="s">
        <v>127</v>
      </c>
      <c r="I35" s="20">
        <v>40663</v>
      </c>
    </row>
    <row r="36" spans="1:9" ht="15" customHeight="1">
      <c r="A36" s="16">
        <v>40663</v>
      </c>
      <c r="B36" s="17" t="s">
        <v>58</v>
      </c>
      <c r="C36" s="17" t="s">
        <v>115</v>
      </c>
      <c r="D36" s="17" t="s">
        <v>137</v>
      </c>
      <c r="E36" s="18">
        <v>-100</v>
      </c>
      <c r="F36" s="19" t="s">
        <v>126</v>
      </c>
      <c r="G36" s="19" t="s">
        <v>66</v>
      </c>
      <c r="H36" s="19" t="s">
        <v>127</v>
      </c>
      <c r="I36" s="20">
        <v>40663</v>
      </c>
    </row>
    <row r="37" spans="1:9" ht="15" customHeight="1">
      <c r="A37" s="16">
        <v>40664</v>
      </c>
      <c r="B37" s="17" t="s">
        <v>52</v>
      </c>
      <c r="C37" s="17" t="s">
        <v>147</v>
      </c>
      <c r="D37" s="17" t="s">
        <v>107</v>
      </c>
      <c r="E37" s="18">
        <v>179</v>
      </c>
      <c r="F37" s="19" t="s">
        <v>37</v>
      </c>
      <c r="G37" s="19" t="s">
        <v>38</v>
      </c>
      <c r="H37" s="19" t="s">
        <v>108</v>
      </c>
      <c r="I37" s="20">
        <v>40694</v>
      </c>
    </row>
    <row r="38" spans="1:9" ht="15" customHeight="1">
      <c r="A38" s="16">
        <v>40664</v>
      </c>
      <c r="B38" s="17" t="s">
        <v>44</v>
      </c>
      <c r="C38" s="17" t="s">
        <v>35</v>
      </c>
      <c r="D38" s="17" t="s">
        <v>148</v>
      </c>
      <c r="E38" s="18">
        <v>220</v>
      </c>
      <c r="F38" s="19" t="s">
        <v>37</v>
      </c>
      <c r="G38" s="19" t="s">
        <v>38</v>
      </c>
      <c r="H38" s="19" t="s">
        <v>149</v>
      </c>
      <c r="I38" s="20">
        <v>40694</v>
      </c>
    </row>
    <row r="39" spans="1:9" ht="15" customHeight="1">
      <c r="A39" s="16">
        <v>40668</v>
      </c>
      <c r="B39" s="17" t="s">
        <v>59</v>
      </c>
      <c r="C39" s="17" t="s">
        <v>112</v>
      </c>
      <c r="D39" s="17" t="s">
        <v>113</v>
      </c>
      <c r="E39" s="18">
        <v>340</v>
      </c>
      <c r="F39" s="19" t="s">
        <v>37</v>
      </c>
      <c r="G39" s="19" t="s">
        <v>38</v>
      </c>
      <c r="H39" s="19" t="s">
        <v>114</v>
      </c>
      <c r="I39" s="20">
        <v>40668</v>
      </c>
    </row>
    <row r="40" spans="1:9" ht="15" customHeight="1">
      <c r="A40" s="16">
        <v>40670</v>
      </c>
      <c r="B40" s="17" t="s">
        <v>61</v>
      </c>
      <c r="C40" s="17" t="s">
        <v>150</v>
      </c>
      <c r="D40" s="17" t="s">
        <v>151</v>
      </c>
      <c r="E40" s="18">
        <v>563</v>
      </c>
      <c r="F40" s="19" t="s">
        <v>37</v>
      </c>
      <c r="G40" s="19" t="s">
        <v>38</v>
      </c>
      <c r="H40" s="19" t="s">
        <v>123</v>
      </c>
      <c r="I40" s="20">
        <v>40670</v>
      </c>
    </row>
    <row r="41" spans="1:9" ht="15" customHeight="1">
      <c r="A41" s="16">
        <v>40670</v>
      </c>
      <c r="B41" s="17" t="s">
        <v>43</v>
      </c>
      <c r="C41" s="17" t="s">
        <v>35</v>
      </c>
      <c r="D41" s="17" t="s">
        <v>152</v>
      </c>
      <c r="E41" s="18">
        <v>982</v>
      </c>
      <c r="F41" s="19" t="s">
        <v>37</v>
      </c>
      <c r="G41" s="19" t="s">
        <v>38</v>
      </c>
      <c r="H41" s="19" t="s">
        <v>153</v>
      </c>
      <c r="I41" s="20">
        <v>40700</v>
      </c>
    </row>
    <row r="42" spans="1:9" ht="15" customHeight="1">
      <c r="A42" s="16">
        <v>40678</v>
      </c>
      <c r="B42" s="17" t="s">
        <v>62</v>
      </c>
      <c r="C42" s="17" t="s">
        <v>115</v>
      </c>
      <c r="D42" s="17" t="s">
        <v>116</v>
      </c>
      <c r="E42" s="18">
        <v>80</v>
      </c>
      <c r="F42" s="19" t="s">
        <v>37</v>
      </c>
      <c r="G42" s="19" t="s">
        <v>38</v>
      </c>
      <c r="H42" s="19" t="s">
        <v>117</v>
      </c>
      <c r="I42" s="20">
        <v>40678</v>
      </c>
    </row>
    <row r="43" spans="1:9" ht="15" customHeight="1">
      <c r="A43" s="16">
        <v>40678</v>
      </c>
      <c r="B43" s="17" t="s">
        <v>62</v>
      </c>
      <c r="C43" s="17" t="s">
        <v>115</v>
      </c>
      <c r="D43" s="17" t="s">
        <v>116</v>
      </c>
      <c r="E43" s="18">
        <v>35</v>
      </c>
      <c r="F43" s="19" t="s">
        <v>37</v>
      </c>
      <c r="G43" s="19" t="s">
        <v>65</v>
      </c>
      <c r="H43" s="19" t="s">
        <v>117</v>
      </c>
      <c r="I43" s="20">
        <v>40678</v>
      </c>
    </row>
    <row r="44" spans="1:9" ht="15" customHeight="1">
      <c r="A44" s="16">
        <v>40678</v>
      </c>
      <c r="B44" s="17" t="s">
        <v>34</v>
      </c>
      <c r="C44" s="17" t="s">
        <v>35</v>
      </c>
      <c r="D44" s="17" t="s">
        <v>36</v>
      </c>
      <c r="E44" s="18">
        <v>1000</v>
      </c>
      <c r="F44" s="19" t="s">
        <v>37</v>
      </c>
      <c r="G44" s="19" t="s">
        <v>38</v>
      </c>
      <c r="H44" s="19" t="s">
        <v>39</v>
      </c>
      <c r="I44" s="20">
        <v>40696</v>
      </c>
    </row>
    <row r="45" spans="1:9" ht="15" customHeight="1">
      <c r="A45" s="16">
        <v>40683</v>
      </c>
      <c r="B45" s="17" t="s">
        <v>58</v>
      </c>
      <c r="C45" s="17" t="s">
        <v>124</v>
      </c>
      <c r="D45" s="17" t="s">
        <v>125</v>
      </c>
      <c r="E45" s="18">
        <v>-20000</v>
      </c>
      <c r="F45" s="19" t="s">
        <v>126</v>
      </c>
      <c r="G45" s="19" t="s">
        <v>65</v>
      </c>
      <c r="H45" s="19" t="s">
        <v>127</v>
      </c>
      <c r="I45" s="20">
        <v>40683</v>
      </c>
    </row>
    <row r="46" spans="1:9" ht="15" customHeight="1">
      <c r="A46" s="16">
        <v>40683</v>
      </c>
      <c r="B46" s="17" t="s">
        <v>58</v>
      </c>
      <c r="C46" s="17" t="s">
        <v>124</v>
      </c>
      <c r="D46" s="17" t="s">
        <v>125</v>
      </c>
      <c r="E46" s="18">
        <v>20000</v>
      </c>
      <c r="F46" s="19" t="s">
        <v>126</v>
      </c>
      <c r="G46" s="19" t="s">
        <v>38</v>
      </c>
      <c r="H46" s="19" t="s">
        <v>127</v>
      </c>
      <c r="I46" s="20">
        <v>40683</v>
      </c>
    </row>
    <row r="47" spans="1:9" ht="15" customHeight="1">
      <c r="A47" s="16">
        <v>40689</v>
      </c>
      <c r="B47" s="17" t="s">
        <v>58</v>
      </c>
      <c r="C47" s="17" t="s">
        <v>128</v>
      </c>
      <c r="D47" s="17" t="s">
        <v>129</v>
      </c>
      <c r="E47" s="18">
        <v>20000</v>
      </c>
      <c r="F47" s="19" t="s">
        <v>126</v>
      </c>
      <c r="G47" s="19" t="s">
        <v>65</v>
      </c>
      <c r="H47" s="19" t="s">
        <v>130</v>
      </c>
      <c r="I47" s="20">
        <v>40689</v>
      </c>
    </row>
    <row r="48" spans="1:9" ht="15" customHeight="1">
      <c r="A48" s="16">
        <v>40689</v>
      </c>
      <c r="B48" s="17" t="s">
        <v>55</v>
      </c>
      <c r="C48" s="17" t="s">
        <v>112</v>
      </c>
      <c r="D48" s="17" t="s">
        <v>131</v>
      </c>
      <c r="E48" s="18">
        <v>220</v>
      </c>
      <c r="F48" s="19" t="s">
        <v>126</v>
      </c>
      <c r="G48" s="19" t="s">
        <v>38</v>
      </c>
      <c r="H48" s="19" t="s">
        <v>132</v>
      </c>
      <c r="I48" s="20">
        <v>40689</v>
      </c>
    </row>
    <row r="49" spans="1:9" ht="15" customHeight="1">
      <c r="A49" s="16">
        <v>40689</v>
      </c>
      <c r="B49" s="17" t="s">
        <v>55</v>
      </c>
      <c r="C49" s="17" t="s">
        <v>112</v>
      </c>
      <c r="D49" s="17" t="s">
        <v>133</v>
      </c>
      <c r="E49" s="18">
        <v>100</v>
      </c>
      <c r="F49" s="19" t="s">
        <v>126</v>
      </c>
      <c r="G49" s="19" t="s">
        <v>38</v>
      </c>
      <c r="H49" s="19" t="s">
        <v>134</v>
      </c>
      <c r="I49" s="20">
        <v>40689</v>
      </c>
    </row>
    <row r="50" spans="1:9" ht="15" customHeight="1">
      <c r="A50" s="16">
        <v>40689</v>
      </c>
      <c r="B50" s="17" t="s">
        <v>48</v>
      </c>
      <c r="C50" s="17" t="s">
        <v>112</v>
      </c>
      <c r="D50" s="17" t="s">
        <v>135</v>
      </c>
      <c r="E50" s="18">
        <v>6400</v>
      </c>
      <c r="F50" s="19" t="s">
        <v>37</v>
      </c>
      <c r="G50" s="19" t="s">
        <v>38</v>
      </c>
      <c r="H50" s="19" t="s">
        <v>136</v>
      </c>
      <c r="I50" s="20">
        <v>40689</v>
      </c>
    </row>
    <row r="51" spans="1:9" ht="15" customHeight="1">
      <c r="A51" s="16">
        <v>40692</v>
      </c>
      <c r="B51" s="17" t="s">
        <v>53</v>
      </c>
      <c r="C51" s="17" t="s">
        <v>118</v>
      </c>
      <c r="D51" s="17" t="s">
        <v>119</v>
      </c>
      <c r="E51" s="18">
        <v>65</v>
      </c>
      <c r="F51" s="19" t="s">
        <v>37</v>
      </c>
      <c r="G51" s="19" t="s">
        <v>66</v>
      </c>
      <c r="H51" s="19" t="s">
        <v>120</v>
      </c>
      <c r="I51" s="20">
        <v>40692</v>
      </c>
    </row>
    <row r="52" spans="1:9" ht="15" customHeight="1">
      <c r="A52" s="16">
        <v>40694</v>
      </c>
      <c r="B52" s="17" t="s">
        <v>58</v>
      </c>
      <c r="C52" s="17" t="s">
        <v>115</v>
      </c>
      <c r="D52" s="17" t="s">
        <v>137</v>
      </c>
      <c r="E52" s="18">
        <v>100</v>
      </c>
      <c r="F52" s="19" t="s">
        <v>126</v>
      </c>
      <c r="G52" s="19" t="s">
        <v>38</v>
      </c>
      <c r="H52" s="19" t="s">
        <v>127</v>
      </c>
      <c r="I52" s="20">
        <v>40694</v>
      </c>
    </row>
    <row r="53" spans="1:9" ht="15" customHeight="1">
      <c r="A53" s="16">
        <v>40694</v>
      </c>
      <c r="B53" s="17" t="s">
        <v>58</v>
      </c>
      <c r="C53" s="17" t="s">
        <v>115</v>
      </c>
      <c r="D53" s="17" t="s">
        <v>137</v>
      </c>
      <c r="E53" s="18">
        <v>-100</v>
      </c>
      <c r="F53" s="19" t="s">
        <v>126</v>
      </c>
      <c r="G53" s="19" t="s">
        <v>66</v>
      </c>
      <c r="H53" s="19" t="s">
        <v>127</v>
      </c>
      <c r="I53" s="20">
        <v>40694</v>
      </c>
    </row>
    <row r="54" spans="1:9" ht="15" customHeight="1">
      <c r="A54" s="16">
        <v>40695</v>
      </c>
      <c r="B54" s="17" t="s">
        <v>52</v>
      </c>
      <c r="C54" s="17" t="s">
        <v>154</v>
      </c>
      <c r="D54" s="17" t="s">
        <v>107</v>
      </c>
      <c r="E54" s="18">
        <v>179</v>
      </c>
      <c r="F54" s="19" t="s">
        <v>37</v>
      </c>
      <c r="G54" s="19" t="s">
        <v>38</v>
      </c>
      <c r="H54" s="19" t="s">
        <v>108</v>
      </c>
      <c r="I54" s="20">
        <v>40725</v>
      </c>
    </row>
    <row r="55" spans="1:9" ht="15" customHeight="1">
      <c r="A55" s="16">
        <v>40699</v>
      </c>
      <c r="B55" s="17" t="s">
        <v>59</v>
      </c>
      <c r="C55" s="17" t="s">
        <v>112</v>
      </c>
      <c r="D55" s="17" t="s">
        <v>113</v>
      </c>
      <c r="E55" s="18">
        <v>340</v>
      </c>
      <c r="F55" s="19" t="s">
        <v>37</v>
      </c>
      <c r="G55" s="19" t="s">
        <v>38</v>
      </c>
      <c r="H55" s="19" t="s">
        <v>114</v>
      </c>
      <c r="I55" s="20">
        <v>40699</v>
      </c>
    </row>
    <row r="56" spans="1:9" ht="15" customHeight="1">
      <c r="A56" s="16">
        <v>40709</v>
      </c>
      <c r="B56" s="17" t="s">
        <v>62</v>
      </c>
      <c r="C56" s="17" t="s">
        <v>115</v>
      </c>
      <c r="D56" s="17" t="s">
        <v>116</v>
      </c>
      <c r="E56" s="18">
        <v>80</v>
      </c>
      <c r="F56" s="19" t="s">
        <v>37</v>
      </c>
      <c r="G56" s="19" t="s">
        <v>38</v>
      </c>
      <c r="H56" s="19" t="s">
        <v>117</v>
      </c>
      <c r="I56" s="20">
        <v>40709</v>
      </c>
    </row>
    <row r="57" spans="1:9" ht="15" customHeight="1">
      <c r="A57" s="16">
        <v>40709</v>
      </c>
      <c r="B57" s="17" t="s">
        <v>62</v>
      </c>
      <c r="C57" s="17" t="s">
        <v>115</v>
      </c>
      <c r="D57" s="17" t="s">
        <v>116</v>
      </c>
      <c r="E57" s="18">
        <v>35</v>
      </c>
      <c r="F57" s="19" t="s">
        <v>37</v>
      </c>
      <c r="G57" s="19" t="s">
        <v>65</v>
      </c>
      <c r="H57" s="19" t="s">
        <v>117</v>
      </c>
      <c r="I57" s="20">
        <v>40709</v>
      </c>
    </row>
    <row r="58" spans="1:9" ht="15" customHeight="1">
      <c r="A58" s="16">
        <v>40709</v>
      </c>
      <c r="B58" s="17" t="s">
        <v>34</v>
      </c>
      <c r="C58" s="17" t="s">
        <v>35</v>
      </c>
      <c r="D58" s="17" t="s">
        <v>36</v>
      </c>
      <c r="E58" s="18">
        <v>1000</v>
      </c>
      <c r="F58" s="19" t="s">
        <v>37</v>
      </c>
      <c r="G58" s="19" t="s">
        <v>38</v>
      </c>
      <c r="H58" s="19" t="s">
        <v>39</v>
      </c>
      <c r="I58" s="20">
        <v>40727</v>
      </c>
    </row>
    <row r="59" spans="1:9" ht="15" customHeight="1">
      <c r="A59" s="16">
        <v>40714</v>
      </c>
      <c r="B59" s="17" t="s">
        <v>58</v>
      </c>
      <c r="C59" s="17" t="s">
        <v>124</v>
      </c>
      <c r="D59" s="17" t="s">
        <v>125</v>
      </c>
      <c r="E59" s="18">
        <v>-20000</v>
      </c>
      <c r="F59" s="19" t="s">
        <v>126</v>
      </c>
      <c r="G59" s="19" t="s">
        <v>65</v>
      </c>
      <c r="H59" s="19" t="s">
        <v>127</v>
      </c>
      <c r="I59" s="20">
        <v>40714</v>
      </c>
    </row>
    <row r="60" spans="1:9" ht="15" customHeight="1">
      <c r="A60" s="16">
        <v>40714</v>
      </c>
      <c r="B60" s="17" t="s">
        <v>58</v>
      </c>
      <c r="C60" s="17" t="s">
        <v>124</v>
      </c>
      <c r="D60" s="17" t="s">
        <v>125</v>
      </c>
      <c r="E60" s="18">
        <v>20000</v>
      </c>
      <c r="F60" s="19" t="s">
        <v>126</v>
      </c>
      <c r="G60" s="19" t="s">
        <v>38</v>
      </c>
      <c r="H60" s="19" t="s">
        <v>127</v>
      </c>
      <c r="I60" s="20">
        <v>40714</v>
      </c>
    </row>
    <row r="61" spans="1:9" ht="15" customHeight="1">
      <c r="A61" s="16">
        <v>40716</v>
      </c>
      <c r="B61" s="17" t="s">
        <v>53</v>
      </c>
      <c r="C61" s="17" t="s">
        <v>118</v>
      </c>
      <c r="D61" s="17" t="s">
        <v>119</v>
      </c>
      <c r="E61" s="18">
        <v>110</v>
      </c>
      <c r="F61" s="19" t="s">
        <v>37</v>
      </c>
      <c r="G61" s="19" t="s">
        <v>66</v>
      </c>
      <c r="H61" s="19" t="s">
        <v>120</v>
      </c>
      <c r="I61" s="20">
        <v>40716</v>
      </c>
    </row>
    <row r="62" spans="1:9" ht="15" customHeight="1">
      <c r="A62" s="16">
        <v>40719</v>
      </c>
      <c r="B62" s="17" t="s">
        <v>54</v>
      </c>
      <c r="C62" s="17" t="s">
        <v>139</v>
      </c>
      <c r="D62" s="17" t="s">
        <v>140</v>
      </c>
      <c r="E62" s="18">
        <v>8700</v>
      </c>
      <c r="F62" s="19" t="s">
        <v>126</v>
      </c>
      <c r="G62" s="19" t="s">
        <v>38</v>
      </c>
      <c r="H62" s="19" t="s">
        <v>141</v>
      </c>
      <c r="I62" s="20">
        <v>40719</v>
      </c>
    </row>
    <row r="63" spans="1:9" ht="15" customHeight="1">
      <c r="A63" s="16">
        <v>40720</v>
      </c>
      <c r="B63" s="17" t="s">
        <v>58</v>
      </c>
      <c r="C63" s="17" t="s">
        <v>128</v>
      </c>
      <c r="D63" s="17" t="s">
        <v>129</v>
      </c>
      <c r="E63" s="18">
        <v>20000</v>
      </c>
      <c r="F63" s="19" t="s">
        <v>126</v>
      </c>
      <c r="G63" s="19" t="s">
        <v>65</v>
      </c>
      <c r="H63" s="19" t="s">
        <v>130</v>
      </c>
      <c r="I63" s="20">
        <v>40720</v>
      </c>
    </row>
    <row r="64" spans="1:9" ht="15" customHeight="1">
      <c r="A64" s="16">
        <v>40720</v>
      </c>
      <c r="B64" s="17" t="s">
        <v>55</v>
      </c>
      <c r="C64" s="17" t="s">
        <v>112</v>
      </c>
      <c r="D64" s="17" t="s">
        <v>131</v>
      </c>
      <c r="E64" s="18">
        <v>220</v>
      </c>
      <c r="F64" s="19" t="s">
        <v>126</v>
      </c>
      <c r="G64" s="19" t="s">
        <v>38</v>
      </c>
      <c r="H64" s="19" t="s">
        <v>132</v>
      </c>
      <c r="I64" s="20">
        <v>40720</v>
      </c>
    </row>
    <row r="65" spans="1:9" ht="15" customHeight="1">
      <c r="A65" s="16">
        <v>40720</v>
      </c>
      <c r="B65" s="17" t="s">
        <v>55</v>
      </c>
      <c r="C65" s="17" t="s">
        <v>112</v>
      </c>
      <c r="D65" s="17" t="s">
        <v>133</v>
      </c>
      <c r="E65" s="18">
        <v>100</v>
      </c>
      <c r="F65" s="19" t="s">
        <v>126</v>
      </c>
      <c r="G65" s="19" t="s">
        <v>38</v>
      </c>
      <c r="H65" s="19" t="s">
        <v>134</v>
      </c>
      <c r="I65" s="20">
        <v>40720</v>
      </c>
    </row>
    <row r="66" spans="1:9" ht="15" customHeight="1">
      <c r="A66" s="16">
        <v>40720</v>
      </c>
      <c r="B66" s="17" t="s">
        <v>48</v>
      </c>
      <c r="C66" s="17" t="s">
        <v>112</v>
      </c>
      <c r="D66" s="17" t="s">
        <v>135</v>
      </c>
      <c r="E66" s="18">
        <v>6400</v>
      </c>
      <c r="F66" s="19" t="s">
        <v>37</v>
      </c>
      <c r="G66" s="19" t="s">
        <v>38</v>
      </c>
      <c r="H66" s="19" t="s">
        <v>136</v>
      </c>
      <c r="I66" s="20">
        <v>40720</v>
      </c>
    </row>
    <row r="67" spans="1:9" ht="15" customHeight="1">
      <c r="A67" s="16">
        <v>40720</v>
      </c>
      <c r="B67" s="17" t="s">
        <v>45</v>
      </c>
      <c r="C67" s="17" t="s">
        <v>155</v>
      </c>
      <c r="D67" s="17" t="s">
        <v>156</v>
      </c>
      <c r="E67" s="18">
        <v>1782</v>
      </c>
      <c r="F67" s="19" t="s">
        <v>37</v>
      </c>
      <c r="G67" s="19" t="s">
        <v>38</v>
      </c>
      <c r="H67" s="19" t="s">
        <v>123</v>
      </c>
      <c r="I67" s="20">
        <v>40720</v>
      </c>
    </row>
    <row r="68" spans="1:9" ht="15" customHeight="1">
      <c r="A68" s="16">
        <v>40724</v>
      </c>
      <c r="B68" s="17" t="s">
        <v>58</v>
      </c>
      <c r="C68" s="17" t="s">
        <v>115</v>
      </c>
      <c r="D68" s="17" t="s">
        <v>137</v>
      </c>
      <c r="E68" s="18">
        <v>100</v>
      </c>
      <c r="F68" s="19" t="s">
        <v>126</v>
      </c>
      <c r="G68" s="19" t="s">
        <v>38</v>
      </c>
      <c r="H68" s="19" t="s">
        <v>127</v>
      </c>
      <c r="I68" s="20">
        <v>40724</v>
      </c>
    </row>
    <row r="69" spans="1:9" ht="15" customHeight="1">
      <c r="A69" s="16">
        <v>40724</v>
      </c>
      <c r="B69" s="17" t="s">
        <v>58</v>
      </c>
      <c r="C69" s="17" t="s">
        <v>115</v>
      </c>
      <c r="D69" s="17" t="s">
        <v>137</v>
      </c>
      <c r="E69" s="18">
        <v>-100</v>
      </c>
      <c r="F69" s="19" t="s">
        <v>126</v>
      </c>
      <c r="G69" s="19" t="s">
        <v>66</v>
      </c>
      <c r="H69" s="19" t="s">
        <v>127</v>
      </c>
      <c r="I69" s="20">
        <v>40724</v>
      </c>
    </row>
    <row r="70" spans="1:9" ht="15" customHeight="1">
      <c r="A70" s="16">
        <v>40725</v>
      </c>
      <c r="B70" s="17" t="s">
        <v>52</v>
      </c>
      <c r="C70" s="17" t="s">
        <v>157</v>
      </c>
      <c r="D70" s="17" t="s">
        <v>107</v>
      </c>
      <c r="E70" s="18">
        <v>179</v>
      </c>
      <c r="F70" s="19" t="s">
        <v>37</v>
      </c>
      <c r="G70" s="19" t="s">
        <v>38</v>
      </c>
      <c r="H70" s="19" t="s">
        <v>108</v>
      </c>
      <c r="I70" s="20">
        <v>40755</v>
      </c>
    </row>
    <row r="71" spans="1:9" ht="15" customHeight="1">
      <c r="A71" s="16">
        <v>40726</v>
      </c>
      <c r="B71" s="17" t="s">
        <v>43</v>
      </c>
      <c r="C71" s="17" t="s">
        <v>35</v>
      </c>
      <c r="D71" s="17" t="s">
        <v>152</v>
      </c>
      <c r="E71" s="18">
        <v>761</v>
      </c>
      <c r="F71" s="19" t="s">
        <v>37</v>
      </c>
      <c r="G71" s="19" t="s">
        <v>38</v>
      </c>
      <c r="H71" s="19" t="s">
        <v>153</v>
      </c>
      <c r="I71" s="20">
        <v>40756</v>
      </c>
    </row>
    <row r="72" spans="1:9" ht="15" customHeight="1">
      <c r="A72" s="16">
        <v>40729</v>
      </c>
      <c r="B72" s="17" t="s">
        <v>59</v>
      </c>
      <c r="C72" s="17" t="s">
        <v>112</v>
      </c>
      <c r="D72" s="17" t="s">
        <v>113</v>
      </c>
      <c r="E72" s="18">
        <v>340</v>
      </c>
      <c r="F72" s="19" t="s">
        <v>37</v>
      </c>
      <c r="G72" s="19" t="s">
        <v>38</v>
      </c>
      <c r="H72" s="19" t="s">
        <v>114</v>
      </c>
      <c r="I72" s="20">
        <v>40729</v>
      </c>
    </row>
    <row r="73" spans="1:9" ht="15" customHeight="1">
      <c r="A73" s="16">
        <v>40739</v>
      </c>
      <c r="B73" s="17" t="s">
        <v>62</v>
      </c>
      <c r="C73" s="17" t="s">
        <v>115</v>
      </c>
      <c r="D73" s="17" t="s">
        <v>116</v>
      </c>
      <c r="E73" s="18">
        <v>80</v>
      </c>
      <c r="F73" s="19" t="s">
        <v>37</v>
      </c>
      <c r="G73" s="19" t="s">
        <v>38</v>
      </c>
      <c r="H73" s="19" t="s">
        <v>117</v>
      </c>
      <c r="I73" s="20">
        <v>40739</v>
      </c>
    </row>
    <row r="74" spans="1:9" ht="15" customHeight="1">
      <c r="A74" s="16">
        <v>40739</v>
      </c>
      <c r="B74" s="17" t="s">
        <v>62</v>
      </c>
      <c r="C74" s="17" t="s">
        <v>115</v>
      </c>
      <c r="D74" s="17" t="s">
        <v>116</v>
      </c>
      <c r="E74" s="18">
        <v>35</v>
      </c>
      <c r="F74" s="19" t="s">
        <v>37</v>
      </c>
      <c r="G74" s="19" t="s">
        <v>65</v>
      </c>
      <c r="H74" s="19" t="s">
        <v>117</v>
      </c>
      <c r="I74" s="20">
        <v>40739</v>
      </c>
    </row>
    <row r="75" spans="1:9" ht="15" customHeight="1">
      <c r="A75" s="16">
        <v>40739</v>
      </c>
      <c r="B75" s="17" t="s">
        <v>34</v>
      </c>
      <c r="C75" s="17" t="s">
        <v>35</v>
      </c>
      <c r="D75" s="17" t="s">
        <v>36</v>
      </c>
      <c r="E75" s="18">
        <v>1000</v>
      </c>
      <c r="F75" s="19" t="s">
        <v>37</v>
      </c>
      <c r="G75" s="19" t="s">
        <v>38</v>
      </c>
      <c r="H75" s="19" t="s">
        <v>39</v>
      </c>
      <c r="I75" s="20">
        <v>40757</v>
      </c>
    </row>
    <row r="76" spans="1:9" ht="15" customHeight="1">
      <c r="A76" s="16">
        <v>40740</v>
      </c>
      <c r="B76" s="17" t="s">
        <v>53</v>
      </c>
      <c r="C76" s="17" t="s">
        <v>118</v>
      </c>
      <c r="D76" s="17" t="s">
        <v>119</v>
      </c>
      <c r="E76" s="18">
        <v>29</v>
      </c>
      <c r="F76" s="19" t="s">
        <v>37</v>
      </c>
      <c r="G76" s="19" t="s">
        <v>66</v>
      </c>
      <c r="H76" s="19" t="s">
        <v>120</v>
      </c>
      <c r="I76" s="20">
        <v>40740</v>
      </c>
    </row>
    <row r="77" spans="1:9" ht="15" customHeight="1">
      <c r="A77" s="16">
        <v>40741</v>
      </c>
      <c r="B77" s="17" t="s">
        <v>56</v>
      </c>
      <c r="C77" s="17" t="s">
        <v>158</v>
      </c>
      <c r="D77" s="17" t="s">
        <v>145</v>
      </c>
      <c r="E77" s="18">
        <v>937</v>
      </c>
      <c r="F77" s="19" t="s">
        <v>37</v>
      </c>
      <c r="G77" s="19" t="s">
        <v>38</v>
      </c>
      <c r="H77" s="19" t="s">
        <v>146</v>
      </c>
      <c r="I77" s="20">
        <v>40771</v>
      </c>
    </row>
    <row r="78" spans="1:9" ht="15" customHeight="1">
      <c r="A78" s="16">
        <v>40744</v>
      </c>
      <c r="B78" s="17" t="s">
        <v>58</v>
      </c>
      <c r="C78" s="17" t="s">
        <v>124</v>
      </c>
      <c r="D78" s="17" t="s">
        <v>125</v>
      </c>
      <c r="E78" s="18">
        <v>-20000</v>
      </c>
      <c r="F78" s="19" t="s">
        <v>126</v>
      </c>
      <c r="G78" s="19" t="s">
        <v>65</v>
      </c>
      <c r="H78" s="19" t="s">
        <v>127</v>
      </c>
      <c r="I78" s="20">
        <v>40744</v>
      </c>
    </row>
    <row r="79" spans="1:9" ht="15" customHeight="1">
      <c r="A79" s="16">
        <v>40744</v>
      </c>
      <c r="B79" s="17" t="s">
        <v>58</v>
      </c>
      <c r="C79" s="17" t="s">
        <v>124</v>
      </c>
      <c r="D79" s="17" t="s">
        <v>125</v>
      </c>
      <c r="E79" s="18">
        <v>20000</v>
      </c>
      <c r="F79" s="19" t="s">
        <v>126</v>
      </c>
      <c r="G79" s="19" t="s">
        <v>38</v>
      </c>
      <c r="H79" s="19" t="s">
        <v>127</v>
      </c>
      <c r="I79" s="20">
        <v>40744</v>
      </c>
    </row>
    <row r="80" spans="1:9" ht="15" customHeight="1">
      <c r="A80" s="16">
        <v>40749</v>
      </c>
      <c r="B80" s="17" t="s">
        <v>63</v>
      </c>
      <c r="C80" s="17" t="s">
        <v>159</v>
      </c>
      <c r="D80" s="17" t="s">
        <v>160</v>
      </c>
      <c r="E80" s="18">
        <v>2000</v>
      </c>
      <c r="F80" s="19" t="s">
        <v>37</v>
      </c>
      <c r="G80" s="19" t="s">
        <v>38</v>
      </c>
      <c r="H80" s="19" t="s">
        <v>111</v>
      </c>
      <c r="I80" s="20">
        <v>40779</v>
      </c>
    </row>
    <row r="81" spans="1:9" ht="15" customHeight="1">
      <c r="A81" s="16">
        <v>40750</v>
      </c>
      <c r="B81" s="17" t="s">
        <v>58</v>
      </c>
      <c r="C81" s="17" t="s">
        <v>128</v>
      </c>
      <c r="D81" s="17" t="s">
        <v>129</v>
      </c>
      <c r="E81" s="18">
        <v>20000</v>
      </c>
      <c r="F81" s="19" t="s">
        <v>126</v>
      </c>
      <c r="G81" s="19" t="s">
        <v>65</v>
      </c>
      <c r="H81" s="19" t="s">
        <v>130</v>
      </c>
      <c r="I81" s="20">
        <v>40750</v>
      </c>
    </row>
    <row r="82" spans="1:9" ht="15" customHeight="1">
      <c r="A82" s="16">
        <v>40750</v>
      </c>
      <c r="B82" s="17" t="s">
        <v>55</v>
      </c>
      <c r="C82" s="17" t="s">
        <v>112</v>
      </c>
      <c r="D82" s="17" t="s">
        <v>131</v>
      </c>
      <c r="E82" s="18">
        <v>220</v>
      </c>
      <c r="F82" s="19" t="s">
        <v>126</v>
      </c>
      <c r="G82" s="19" t="s">
        <v>38</v>
      </c>
      <c r="H82" s="19" t="s">
        <v>132</v>
      </c>
      <c r="I82" s="20">
        <v>40750</v>
      </c>
    </row>
    <row r="83" spans="1:9" ht="15" customHeight="1">
      <c r="A83" s="16">
        <v>40750</v>
      </c>
      <c r="B83" s="17" t="s">
        <v>55</v>
      </c>
      <c r="C83" s="17" t="s">
        <v>112</v>
      </c>
      <c r="D83" s="17" t="s">
        <v>133</v>
      </c>
      <c r="E83" s="18">
        <v>100</v>
      </c>
      <c r="F83" s="19" t="s">
        <v>126</v>
      </c>
      <c r="G83" s="19" t="s">
        <v>38</v>
      </c>
      <c r="H83" s="19" t="s">
        <v>134</v>
      </c>
      <c r="I83" s="20">
        <v>40750</v>
      </c>
    </row>
    <row r="84" spans="1:9" ht="15" customHeight="1">
      <c r="A84" s="16">
        <v>40750</v>
      </c>
      <c r="B84" s="17" t="s">
        <v>48</v>
      </c>
      <c r="C84" s="17" t="s">
        <v>112</v>
      </c>
      <c r="D84" s="17" t="s">
        <v>135</v>
      </c>
      <c r="E84" s="18">
        <v>6400</v>
      </c>
      <c r="F84" s="19" t="s">
        <v>37</v>
      </c>
      <c r="G84" s="19" t="s">
        <v>38</v>
      </c>
      <c r="H84" s="19" t="s">
        <v>136</v>
      </c>
      <c r="I84" s="20">
        <v>40750</v>
      </c>
    </row>
    <row r="85" spans="1:9" ht="15" customHeight="1">
      <c r="A85" s="16">
        <v>40755</v>
      </c>
      <c r="B85" s="17" t="s">
        <v>58</v>
      </c>
      <c r="C85" s="17" t="s">
        <v>115</v>
      </c>
      <c r="D85" s="17" t="s">
        <v>137</v>
      </c>
      <c r="E85" s="18">
        <v>50</v>
      </c>
      <c r="F85" s="19" t="s">
        <v>126</v>
      </c>
      <c r="G85" s="19" t="s">
        <v>38</v>
      </c>
      <c r="H85" s="19" t="s">
        <v>127</v>
      </c>
      <c r="I85" s="20">
        <v>40755</v>
      </c>
    </row>
    <row r="86" spans="1:9" ht="15" customHeight="1">
      <c r="A86" s="16">
        <v>40755</v>
      </c>
      <c r="B86" s="17" t="s">
        <v>58</v>
      </c>
      <c r="C86" s="17" t="s">
        <v>115</v>
      </c>
      <c r="D86" s="17" t="s">
        <v>137</v>
      </c>
      <c r="E86" s="18">
        <v>-50</v>
      </c>
      <c r="F86" s="19" t="s">
        <v>126</v>
      </c>
      <c r="G86" s="19" t="s">
        <v>66</v>
      </c>
      <c r="H86" s="19" t="s">
        <v>127</v>
      </c>
      <c r="I86" s="20">
        <v>40755</v>
      </c>
    </row>
    <row r="87" spans="1:9" ht="15" customHeight="1">
      <c r="A87" s="16">
        <v>40756</v>
      </c>
      <c r="B87" s="17" t="s">
        <v>52</v>
      </c>
      <c r="C87" s="17" t="s">
        <v>161</v>
      </c>
      <c r="D87" s="17" t="s">
        <v>107</v>
      </c>
      <c r="E87" s="18">
        <v>179</v>
      </c>
      <c r="F87" s="19" t="s">
        <v>37</v>
      </c>
      <c r="G87" s="19" t="s">
        <v>38</v>
      </c>
      <c r="H87" s="19" t="s">
        <v>108</v>
      </c>
      <c r="I87" s="20">
        <v>40786</v>
      </c>
    </row>
    <row r="88" spans="1:9" ht="15" customHeight="1">
      <c r="A88" s="16">
        <v>40760</v>
      </c>
      <c r="B88" s="17" t="s">
        <v>59</v>
      </c>
      <c r="C88" s="17" t="s">
        <v>112</v>
      </c>
      <c r="D88" s="17" t="s">
        <v>113</v>
      </c>
      <c r="E88" s="18">
        <v>340</v>
      </c>
      <c r="F88" s="19" t="s">
        <v>37</v>
      </c>
      <c r="G88" s="19" t="s">
        <v>38</v>
      </c>
      <c r="H88" s="19" t="s">
        <v>114</v>
      </c>
      <c r="I88" s="20">
        <v>40760</v>
      </c>
    </row>
    <row r="89" spans="1:9" ht="15" customHeight="1">
      <c r="A89" s="16">
        <v>40764</v>
      </c>
      <c r="B89" s="17" t="s">
        <v>53</v>
      </c>
      <c r="C89" s="17" t="s">
        <v>118</v>
      </c>
      <c r="D89" s="17" t="s">
        <v>119</v>
      </c>
      <c r="E89" s="18">
        <v>78</v>
      </c>
      <c r="F89" s="19" t="s">
        <v>37</v>
      </c>
      <c r="G89" s="19" t="s">
        <v>66</v>
      </c>
      <c r="H89" s="19" t="s">
        <v>120</v>
      </c>
      <c r="I89" s="20">
        <v>40764</v>
      </c>
    </row>
    <row r="90" spans="1:9" ht="15" customHeight="1">
      <c r="A90" s="16">
        <v>40768</v>
      </c>
      <c r="B90" s="17" t="s">
        <v>41</v>
      </c>
      <c r="C90" s="17" t="s">
        <v>162</v>
      </c>
      <c r="D90" s="17" t="s">
        <v>163</v>
      </c>
      <c r="E90" s="18">
        <v>747</v>
      </c>
      <c r="F90" s="19" t="s">
        <v>37</v>
      </c>
      <c r="G90" s="19" t="s">
        <v>38</v>
      </c>
      <c r="H90" s="19" t="s">
        <v>164</v>
      </c>
      <c r="I90" s="20">
        <v>40798</v>
      </c>
    </row>
    <row r="91" spans="1:9" ht="15" customHeight="1">
      <c r="A91" s="16">
        <v>40770</v>
      </c>
      <c r="B91" s="17" t="s">
        <v>62</v>
      </c>
      <c r="C91" s="17" t="s">
        <v>115</v>
      </c>
      <c r="D91" s="17" t="s">
        <v>116</v>
      </c>
      <c r="E91" s="18">
        <v>80</v>
      </c>
      <c r="F91" s="19" t="s">
        <v>37</v>
      </c>
      <c r="G91" s="19" t="s">
        <v>38</v>
      </c>
      <c r="H91" s="19" t="s">
        <v>117</v>
      </c>
      <c r="I91" s="20">
        <v>40770</v>
      </c>
    </row>
    <row r="92" spans="1:9" ht="15" customHeight="1">
      <c r="A92" s="16">
        <v>40770</v>
      </c>
      <c r="B92" s="17" t="s">
        <v>62</v>
      </c>
      <c r="C92" s="17" t="s">
        <v>115</v>
      </c>
      <c r="D92" s="17" t="s">
        <v>116</v>
      </c>
      <c r="E92" s="18">
        <v>35</v>
      </c>
      <c r="F92" s="19" t="s">
        <v>37</v>
      </c>
      <c r="G92" s="19" t="s">
        <v>65</v>
      </c>
      <c r="H92" s="19" t="s">
        <v>117</v>
      </c>
      <c r="I92" s="20">
        <v>40770</v>
      </c>
    </row>
    <row r="93" spans="1:9" ht="15" customHeight="1">
      <c r="A93" s="16">
        <v>40770</v>
      </c>
      <c r="B93" s="17" t="s">
        <v>34</v>
      </c>
      <c r="C93" s="17" t="s">
        <v>35</v>
      </c>
      <c r="D93" s="17" t="s">
        <v>36</v>
      </c>
      <c r="E93" s="18">
        <v>1000</v>
      </c>
      <c r="F93" s="19" t="s">
        <v>37</v>
      </c>
      <c r="G93" s="19" t="s">
        <v>38</v>
      </c>
      <c r="H93" s="19" t="s">
        <v>39</v>
      </c>
      <c r="I93" s="20">
        <v>40788</v>
      </c>
    </row>
    <row r="94" spans="1:9" ht="15" customHeight="1">
      <c r="A94" s="16">
        <v>40770</v>
      </c>
      <c r="B94" s="17" t="s">
        <v>45</v>
      </c>
      <c r="C94" s="17" t="s">
        <v>165</v>
      </c>
      <c r="D94" s="17" t="s">
        <v>156</v>
      </c>
      <c r="E94" s="18">
        <v>1278</v>
      </c>
      <c r="F94" s="19" t="s">
        <v>37</v>
      </c>
      <c r="G94" s="19" t="s">
        <v>38</v>
      </c>
      <c r="H94" s="19" t="s">
        <v>123</v>
      </c>
      <c r="I94" s="20">
        <v>40770</v>
      </c>
    </row>
    <row r="95" spans="1:9" ht="15" customHeight="1">
      <c r="A95" s="16">
        <v>40775</v>
      </c>
      <c r="B95" s="17" t="s">
        <v>58</v>
      </c>
      <c r="C95" s="17" t="s">
        <v>124</v>
      </c>
      <c r="D95" s="17" t="s">
        <v>125</v>
      </c>
      <c r="E95" s="18">
        <v>-20000</v>
      </c>
      <c r="F95" s="19" t="s">
        <v>126</v>
      </c>
      <c r="G95" s="19" t="s">
        <v>65</v>
      </c>
      <c r="H95" s="19" t="s">
        <v>127</v>
      </c>
      <c r="I95" s="20">
        <v>40775</v>
      </c>
    </row>
    <row r="96" spans="1:9" ht="15" customHeight="1">
      <c r="A96" s="16">
        <v>40775</v>
      </c>
      <c r="B96" s="17" t="s">
        <v>58</v>
      </c>
      <c r="C96" s="17" t="s">
        <v>124</v>
      </c>
      <c r="D96" s="17" t="s">
        <v>125</v>
      </c>
      <c r="E96" s="18">
        <v>20000</v>
      </c>
      <c r="F96" s="19" t="s">
        <v>126</v>
      </c>
      <c r="G96" s="19" t="s">
        <v>38</v>
      </c>
      <c r="H96" s="19" t="s">
        <v>127</v>
      </c>
      <c r="I96" s="20">
        <v>40775</v>
      </c>
    </row>
    <row r="97" spans="1:9" ht="15" customHeight="1">
      <c r="A97" s="16">
        <v>40776</v>
      </c>
      <c r="B97" s="17" t="s">
        <v>51</v>
      </c>
      <c r="C97" s="17" t="s">
        <v>166</v>
      </c>
      <c r="D97" s="17" t="s">
        <v>167</v>
      </c>
      <c r="E97" s="18">
        <v>3750</v>
      </c>
      <c r="F97" s="19" t="s">
        <v>126</v>
      </c>
      <c r="G97" s="19" t="s">
        <v>38</v>
      </c>
      <c r="H97" s="19" t="s">
        <v>168</v>
      </c>
      <c r="I97" s="20">
        <v>40776</v>
      </c>
    </row>
    <row r="98" spans="1:9" ht="15" customHeight="1">
      <c r="A98" s="16">
        <v>40780</v>
      </c>
      <c r="B98" s="17" t="s">
        <v>54</v>
      </c>
      <c r="C98" s="17" t="s">
        <v>139</v>
      </c>
      <c r="D98" s="17" t="s">
        <v>140</v>
      </c>
      <c r="E98" s="18">
        <v>6600</v>
      </c>
      <c r="F98" s="19" t="s">
        <v>126</v>
      </c>
      <c r="G98" s="19" t="s">
        <v>38</v>
      </c>
      <c r="H98" s="19" t="s">
        <v>141</v>
      </c>
      <c r="I98" s="20">
        <v>40780</v>
      </c>
    </row>
    <row r="99" spans="1:9" ht="15" customHeight="1">
      <c r="A99" s="16">
        <v>40781</v>
      </c>
      <c r="B99" s="17" t="s">
        <v>58</v>
      </c>
      <c r="C99" s="17" t="s">
        <v>128</v>
      </c>
      <c r="D99" s="17" t="s">
        <v>129</v>
      </c>
      <c r="E99" s="18">
        <v>20000</v>
      </c>
      <c r="F99" s="19" t="s">
        <v>126</v>
      </c>
      <c r="G99" s="19" t="s">
        <v>65</v>
      </c>
      <c r="H99" s="19" t="s">
        <v>130</v>
      </c>
      <c r="I99" s="20">
        <v>40781</v>
      </c>
    </row>
    <row r="100" spans="1:9" ht="15" customHeight="1">
      <c r="A100" s="16">
        <v>40781</v>
      </c>
      <c r="B100" s="17" t="s">
        <v>55</v>
      </c>
      <c r="C100" s="17" t="s">
        <v>112</v>
      </c>
      <c r="D100" s="17" t="s">
        <v>131</v>
      </c>
      <c r="E100" s="18">
        <v>220</v>
      </c>
      <c r="F100" s="19" t="s">
        <v>126</v>
      </c>
      <c r="G100" s="19" t="s">
        <v>38</v>
      </c>
      <c r="H100" s="19" t="s">
        <v>132</v>
      </c>
      <c r="I100" s="20">
        <v>40781</v>
      </c>
    </row>
    <row r="101" spans="1:9" ht="15" customHeight="1">
      <c r="A101" s="16">
        <v>40781</v>
      </c>
      <c r="B101" s="17" t="s">
        <v>55</v>
      </c>
      <c r="C101" s="17" t="s">
        <v>112</v>
      </c>
      <c r="D101" s="17" t="s">
        <v>133</v>
      </c>
      <c r="E101" s="18">
        <v>100</v>
      </c>
      <c r="F101" s="19" t="s">
        <v>126</v>
      </c>
      <c r="G101" s="19" t="s">
        <v>38</v>
      </c>
      <c r="H101" s="19" t="s">
        <v>134</v>
      </c>
      <c r="I101" s="20">
        <v>40781</v>
      </c>
    </row>
    <row r="102" spans="1:9" ht="15" customHeight="1">
      <c r="A102" s="16">
        <v>40781</v>
      </c>
      <c r="B102" s="17" t="s">
        <v>48</v>
      </c>
      <c r="C102" s="17" t="s">
        <v>112</v>
      </c>
      <c r="D102" s="17" t="s">
        <v>135</v>
      </c>
      <c r="E102" s="18">
        <v>6400</v>
      </c>
      <c r="F102" s="19" t="s">
        <v>37</v>
      </c>
      <c r="G102" s="19" t="s">
        <v>38</v>
      </c>
      <c r="H102" s="19" t="s">
        <v>136</v>
      </c>
      <c r="I102" s="20">
        <v>40781</v>
      </c>
    </row>
    <row r="103" spans="1:9" ht="15" customHeight="1">
      <c r="A103" s="16">
        <v>40782</v>
      </c>
      <c r="B103" s="17" t="s">
        <v>43</v>
      </c>
      <c r="C103" s="17" t="s">
        <v>35</v>
      </c>
      <c r="D103" s="17" t="s">
        <v>152</v>
      </c>
      <c r="E103" s="18">
        <v>234</v>
      </c>
      <c r="F103" s="19" t="s">
        <v>37</v>
      </c>
      <c r="G103" s="19" t="s">
        <v>38</v>
      </c>
      <c r="H103" s="19" t="s">
        <v>153</v>
      </c>
      <c r="I103" s="20">
        <v>40812</v>
      </c>
    </row>
    <row r="104" spans="1:9" ht="15" customHeight="1">
      <c r="A104" s="16">
        <v>40786</v>
      </c>
      <c r="B104" s="17" t="s">
        <v>58</v>
      </c>
      <c r="C104" s="17" t="s">
        <v>115</v>
      </c>
      <c r="D104" s="17" t="s">
        <v>137</v>
      </c>
      <c r="E104" s="18">
        <v>50</v>
      </c>
      <c r="F104" s="19" t="s">
        <v>126</v>
      </c>
      <c r="G104" s="19" t="s">
        <v>38</v>
      </c>
      <c r="H104" s="19" t="s">
        <v>127</v>
      </c>
      <c r="I104" s="20">
        <v>40786</v>
      </c>
    </row>
    <row r="105" spans="1:9" ht="15" customHeight="1">
      <c r="A105" s="16">
        <v>40786</v>
      </c>
      <c r="B105" s="17" t="s">
        <v>58</v>
      </c>
      <c r="C105" s="17" t="s">
        <v>115</v>
      </c>
      <c r="D105" s="17" t="s">
        <v>137</v>
      </c>
      <c r="E105" s="18">
        <v>-50</v>
      </c>
      <c r="F105" s="19" t="s">
        <v>126</v>
      </c>
      <c r="G105" s="19" t="s">
        <v>66</v>
      </c>
      <c r="H105" s="19" t="s">
        <v>127</v>
      </c>
      <c r="I105" s="20">
        <v>40786</v>
      </c>
    </row>
    <row r="106" spans="1:9" ht="15" customHeight="1">
      <c r="A106" s="16">
        <v>40786</v>
      </c>
      <c r="B106" s="17" t="s">
        <v>54</v>
      </c>
      <c r="C106" s="17" t="s">
        <v>139</v>
      </c>
      <c r="D106" s="17" t="s">
        <v>169</v>
      </c>
      <c r="E106" s="18">
        <v>2600</v>
      </c>
      <c r="F106" s="19" t="s">
        <v>126</v>
      </c>
      <c r="G106" s="19" t="s">
        <v>38</v>
      </c>
      <c r="H106" s="19" t="s">
        <v>170</v>
      </c>
      <c r="I106" s="20">
        <v>40786</v>
      </c>
    </row>
    <row r="107" spans="1:9" ht="15" customHeight="1">
      <c r="A107" s="16">
        <v>40787</v>
      </c>
      <c r="B107" s="17" t="s">
        <v>52</v>
      </c>
      <c r="C107" s="17" t="s">
        <v>171</v>
      </c>
      <c r="D107" s="17" t="s">
        <v>107</v>
      </c>
      <c r="E107" s="18">
        <v>179</v>
      </c>
      <c r="F107" s="19" t="s">
        <v>37</v>
      </c>
      <c r="G107" s="19" t="s">
        <v>38</v>
      </c>
      <c r="H107" s="19" t="s">
        <v>108</v>
      </c>
      <c r="I107" s="20">
        <v>40817</v>
      </c>
    </row>
    <row r="108" spans="1:9" ht="15" customHeight="1">
      <c r="A108" s="16">
        <v>40791</v>
      </c>
      <c r="B108" s="17" t="s">
        <v>59</v>
      </c>
      <c r="C108" s="17" t="s">
        <v>112</v>
      </c>
      <c r="D108" s="17" t="s">
        <v>113</v>
      </c>
      <c r="E108" s="18">
        <v>340</v>
      </c>
      <c r="F108" s="19" t="s">
        <v>37</v>
      </c>
      <c r="G108" s="19" t="s">
        <v>38</v>
      </c>
      <c r="H108" s="19" t="s">
        <v>114</v>
      </c>
      <c r="I108" s="20">
        <v>40791</v>
      </c>
    </row>
    <row r="109" spans="1:9" ht="15" customHeight="1">
      <c r="A109" s="16">
        <v>40799</v>
      </c>
      <c r="B109" s="17" t="s">
        <v>44</v>
      </c>
      <c r="C109" s="17" t="s">
        <v>35</v>
      </c>
      <c r="D109" s="17" t="s">
        <v>148</v>
      </c>
      <c r="E109" s="18">
        <v>277.48</v>
      </c>
      <c r="F109" s="19" t="s">
        <v>37</v>
      </c>
      <c r="G109" s="19" t="s">
        <v>38</v>
      </c>
      <c r="H109" s="19" t="s">
        <v>149</v>
      </c>
      <c r="I109" s="20">
        <v>40829</v>
      </c>
    </row>
    <row r="110" spans="1:9" ht="15" customHeight="1">
      <c r="A110" s="16">
        <v>40801</v>
      </c>
      <c r="B110" s="17" t="s">
        <v>62</v>
      </c>
      <c r="C110" s="17" t="s">
        <v>115</v>
      </c>
      <c r="D110" s="17" t="s">
        <v>116</v>
      </c>
      <c r="E110" s="18">
        <v>80</v>
      </c>
      <c r="F110" s="19" t="s">
        <v>37</v>
      </c>
      <c r="G110" s="19" t="s">
        <v>38</v>
      </c>
      <c r="H110" s="19" t="s">
        <v>117</v>
      </c>
      <c r="I110" s="20">
        <v>40801</v>
      </c>
    </row>
    <row r="111" spans="1:9" ht="15" customHeight="1">
      <c r="A111" s="16">
        <v>40801</v>
      </c>
      <c r="B111" s="17" t="s">
        <v>62</v>
      </c>
      <c r="C111" s="17" t="s">
        <v>115</v>
      </c>
      <c r="D111" s="17" t="s">
        <v>116</v>
      </c>
      <c r="E111" s="18">
        <v>35</v>
      </c>
      <c r="F111" s="19" t="s">
        <v>37</v>
      </c>
      <c r="G111" s="19" t="s">
        <v>65</v>
      </c>
      <c r="H111" s="19" t="s">
        <v>117</v>
      </c>
      <c r="I111" s="20">
        <v>40801</v>
      </c>
    </row>
    <row r="112" spans="1:9" ht="15" customHeight="1">
      <c r="A112" s="16">
        <v>40801</v>
      </c>
      <c r="B112" s="17" t="s">
        <v>34</v>
      </c>
      <c r="C112" s="17" t="s">
        <v>35</v>
      </c>
      <c r="D112" s="17" t="s">
        <v>36</v>
      </c>
      <c r="E112" s="18">
        <v>1000</v>
      </c>
      <c r="F112" s="19" t="s">
        <v>37</v>
      </c>
      <c r="G112" s="19" t="s">
        <v>38</v>
      </c>
      <c r="H112" s="19" t="s">
        <v>39</v>
      </c>
      <c r="I112" s="20">
        <v>40819</v>
      </c>
    </row>
    <row r="113" spans="1:9" ht="15" customHeight="1">
      <c r="A113" s="16">
        <v>40804</v>
      </c>
      <c r="B113" s="17" t="s">
        <v>50</v>
      </c>
      <c r="C113" s="17" t="s">
        <v>172</v>
      </c>
      <c r="D113" s="17" t="s">
        <v>173</v>
      </c>
      <c r="E113" s="18">
        <v>5620</v>
      </c>
      <c r="F113" s="19" t="s">
        <v>37</v>
      </c>
      <c r="G113" s="19" t="s">
        <v>38</v>
      </c>
      <c r="H113" s="19" t="s">
        <v>174</v>
      </c>
      <c r="I113" s="20">
        <v>40804</v>
      </c>
    </row>
    <row r="114" spans="1:9" ht="15" customHeight="1">
      <c r="A114" s="16">
        <v>40804</v>
      </c>
      <c r="B114" s="17" t="s">
        <v>47</v>
      </c>
      <c r="C114" s="17" t="s">
        <v>35</v>
      </c>
      <c r="D114" s="17" t="s">
        <v>175</v>
      </c>
      <c r="E114" s="18">
        <v>12500</v>
      </c>
      <c r="F114" s="19" t="s">
        <v>37</v>
      </c>
      <c r="G114" s="19" t="s">
        <v>38</v>
      </c>
      <c r="H114" s="19" t="s">
        <v>176</v>
      </c>
      <c r="I114" s="20">
        <v>40804</v>
      </c>
    </row>
    <row r="115" spans="1:9" ht="15" customHeight="1">
      <c r="A115" s="16">
        <v>40806</v>
      </c>
      <c r="B115" s="17" t="s">
        <v>58</v>
      </c>
      <c r="C115" s="17" t="s">
        <v>124</v>
      </c>
      <c r="D115" s="17" t="s">
        <v>125</v>
      </c>
      <c r="E115" s="18">
        <v>-20000</v>
      </c>
      <c r="F115" s="19" t="s">
        <v>126</v>
      </c>
      <c r="G115" s="19" t="s">
        <v>65</v>
      </c>
      <c r="H115" s="19" t="s">
        <v>127</v>
      </c>
      <c r="I115" s="20">
        <v>40806</v>
      </c>
    </row>
    <row r="116" spans="1:9" ht="15" customHeight="1">
      <c r="A116" s="16">
        <v>40806</v>
      </c>
      <c r="B116" s="17" t="s">
        <v>58</v>
      </c>
      <c r="C116" s="17" t="s">
        <v>124</v>
      </c>
      <c r="D116" s="17" t="s">
        <v>125</v>
      </c>
      <c r="E116" s="18">
        <v>20000</v>
      </c>
      <c r="F116" s="19" t="s">
        <v>126</v>
      </c>
      <c r="G116" s="19" t="s">
        <v>38</v>
      </c>
      <c r="H116" s="19" t="s">
        <v>127</v>
      </c>
      <c r="I116" s="20">
        <v>40806</v>
      </c>
    </row>
    <row r="117" spans="1:9" ht="15" customHeight="1">
      <c r="A117" s="16">
        <v>40807</v>
      </c>
      <c r="B117" s="17" t="s">
        <v>53</v>
      </c>
      <c r="C117" s="17" t="s">
        <v>118</v>
      </c>
      <c r="D117" s="17" t="s">
        <v>119</v>
      </c>
      <c r="E117" s="18">
        <v>90</v>
      </c>
      <c r="F117" s="19" t="s">
        <v>37</v>
      </c>
      <c r="G117" s="19" t="s">
        <v>66</v>
      </c>
      <c r="H117" s="19" t="s">
        <v>120</v>
      </c>
      <c r="I117" s="20">
        <v>40807</v>
      </c>
    </row>
    <row r="118" spans="1:9" ht="15" customHeight="1">
      <c r="A118" s="16">
        <v>40810</v>
      </c>
      <c r="B118" s="17" t="s">
        <v>41</v>
      </c>
      <c r="C118" s="17" t="s">
        <v>177</v>
      </c>
      <c r="D118" s="17" t="s">
        <v>163</v>
      </c>
      <c r="E118" s="18">
        <v>4242</v>
      </c>
      <c r="F118" s="19" t="s">
        <v>37</v>
      </c>
      <c r="G118" s="19" t="s">
        <v>38</v>
      </c>
      <c r="H118" s="19" t="s">
        <v>164</v>
      </c>
      <c r="I118" s="20">
        <v>40840</v>
      </c>
    </row>
    <row r="119" spans="1:9" ht="15" customHeight="1">
      <c r="A119" s="16">
        <v>40812</v>
      </c>
      <c r="B119" s="17" t="s">
        <v>58</v>
      </c>
      <c r="C119" s="17" t="s">
        <v>128</v>
      </c>
      <c r="D119" s="17" t="s">
        <v>129</v>
      </c>
      <c r="E119" s="18">
        <v>20000</v>
      </c>
      <c r="F119" s="19" t="s">
        <v>126</v>
      </c>
      <c r="G119" s="19" t="s">
        <v>65</v>
      </c>
      <c r="H119" s="19" t="s">
        <v>130</v>
      </c>
      <c r="I119" s="20">
        <v>40812</v>
      </c>
    </row>
    <row r="120" spans="1:9" ht="15" customHeight="1">
      <c r="A120" s="16">
        <v>40812</v>
      </c>
      <c r="B120" s="17" t="s">
        <v>55</v>
      </c>
      <c r="C120" s="17" t="s">
        <v>112</v>
      </c>
      <c r="D120" s="17" t="s">
        <v>131</v>
      </c>
      <c r="E120" s="18">
        <v>220</v>
      </c>
      <c r="F120" s="19" t="s">
        <v>126</v>
      </c>
      <c r="G120" s="19" t="s">
        <v>38</v>
      </c>
      <c r="H120" s="19" t="s">
        <v>132</v>
      </c>
      <c r="I120" s="20">
        <v>40812</v>
      </c>
    </row>
    <row r="121" spans="1:9" ht="15" customHeight="1">
      <c r="A121" s="16">
        <v>40812</v>
      </c>
      <c r="B121" s="17" t="s">
        <v>55</v>
      </c>
      <c r="C121" s="17" t="s">
        <v>112</v>
      </c>
      <c r="D121" s="17" t="s">
        <v>133</v>
      </c>
      <c r="E121" s="18">
        <v>100</v>
      </c>
      <c r="F121" s="19" t="s">
        <v>126</v>
      </c>
      <c r="G121" s="19" t="s">
        <v>38</v>
      </c>
      <c r="H121" s="19" t="s">
        <v>134</v>
      </c>
      <c r="I121" s="20">
        <v>40812</v>
      </c>
    </row>
    <row r="122" spans="1:9" ht="15" customHeight="1">
      <c r="A122" s="16">
        <v>40812</v>
      </c>
      <c r="B122" s="17" t="s">
        <v>48</v>
      </c>
      <c r="C122" s="17" t="s">
        <v>112</v>
      </c>
      <c r="D122" s="17" t="s">
        <v>135</v>
      </c>
      <c r="E122" s="18">
        <v>6400</v>
      </c>
      <c r="F122" s="19" t="s">
        <v>37</v>
      </c>
      <c r="G122" s="19" t="s">
        <v>38</v>
      </c>
      <c r="H122" s="19" t="s">
        <v>136</v>
      </c>
      <c r="I122" s="20">
        <v>40812</v>
      </c>
    </row>
    <row r="123" spans="1:9" ht="15" customHeight="1">
      <c r="A123" s="16">
        <v>40816</v>
      </c>
      <c r="B123" s="17" t="s">
        <v>58</v>
      </c>
      <c r="C123" s="17" t="s">
        <v>115</v>
      </c>
      <c r="D123" s="17" t="s">
        <v>137</v>
      </c>
      <c r="E123" s="18">
        <v>100</v>
      </c>
      <c r="F123" s="19" t="s">
        <v>126</v>
      </c>
      <c r="G123" s="19" t="s">
        <v>38</v>
      </c>
      <c r="H123" s="19" t="s">
        <v>127</v>
      </c>
      <c r="I123" s="20">
        <v>40816</v>
      </c>
    </row>
    <row r="124" spans="1:9" ht="15" customHeight="1">
      <c r="A124" s="16">
        <v>40816</v>
      </c>
      <c r="B124" s="17" t="s">
        <v>58</v>
      </c>
      <c r="C124" s="17" t="s">
        <v>115</v>
      </c>
      <c r="D124" s="17" t="s">
        <v>137</v>
      </c>
      <c r="E124" s="18">
        <v>-100</v>
      </c>
      <c r="F124" s="19" t="s">
        <v>126</v>
      </c>
      <c r="G124" s="19" t="s">
        <v>66</v>
      </c>
      <c r="H124" s="19" t="s">
        <v>127</v>
      </c>
      <c r="I124" s="20">
        <v>40816</v>
      </c>
    </row>
    <row r="125" spans="1:9" ht="15" customHeight="1">
      <c r="A125" s="16">
        <v>40817</v>
      </c>
      <c r="B125" s="17" t="s">
        <v>52</v>
      </c>
      <c r="C125" s="17" t="s">
        <v>178</v>
      </c>
      <c r="D125" s="17" t="s">
        <v>107</v>
      </c>
      <c r="E125" s="18">
        <v>179</v>
      </c>
      <c r="F125" s="19" t="s">
        <v>37</v>
      </c>
      <c r="G125" s="19" t="s">
        <v>38</v>
      </c>
      <c r="H125" s="19" t="s">
        <v>108</v>
      </c>
      <c r="I125" s="20">
        <v>40847</v>
      </c>
    </row>
    <row r="126" spans="1:9" ht="15" customHeight="1">
      <c r="A126" s="16">
        <v>40820</v>
      </c>
      <c r="B126" s="17" t="s">
        <v>56</v>
      </c>
      <c r="C126" s="17" t="s">
        <v>179</v>
      </c>
      <c r="D126" s="17" t="s">
        <v>145</v>
      </c>
      <c r="E126" s="18">
        <v>62</v>
      </c>
      <c r="F126" s="19" t="s">
        <v>37</v>
      </c>
      <c r="G126" s="19" t="s">
        <v>66</v>
      </c>
      <c r="H126" s="19" t="s">
        <v>146</v>
      </c>
      <c r="I126" s="20">
        <v>40850</v>
      </c>
    </row>
    <row r="127" spans="1:9" ht="15" customHeight="1">
      <c r="A127" s="16">
        <v>40820</v>
      </c>
      <c r="B127" s="17" t="s">
        <v>45</v>
      </c>
      <c r="C127" s="17" t="s">
        <v>180</v>
      </c>
      <c r="D127" s="17" t="s">
        <v>156</v>
      </c>
      <c r="E127" s="18">
        <v>1887</v>
      </c>
      <c r="F127" s="19" t="s">
        <v>37</v>
      </c>
      <c r="G127" s="19" t="s">
        <v>38</v>
      </c>
      <c r="H127" s="19" t="s">
        <v>123</v>
      </c>
      <c r="I127" s="20">
        <v>40820</v>
      </c>
    </row>
    <row r="128" spans="1:9" ht="15" customHeight="1">
      <c r="A128" s="16">
        <v>40821</v>
      </c>
      <c r="B128" s="17" t="s">
        <v>59</v>
      </c>
      <c r="C128" s="17" t="s">
        <v>112</v>
      </c>
      <c r="D128" s="17" t="s">
        <v>113</v>
      </c>
      <c r="E128" s="18">
        <v>340</v>
      </c>
      <c r="F128" s="19" t="s">
        <v>37</v>
      </c>
      <c r="G128" s="19" t="s">
        <v>38</v>
      </c>
      <c r="H128" s="19" t="s">
        <v>114</v>
      </c>
      <c r="I128" s="20">
        <v>40821</v>
      </c>
    </row>
    <row r="129" spans="1:9" ht="15" customHeight="1">
      <c r="A129" s="16">
        <v>40831</v>
      </c>
      <c r="B129" s="17" t="s">
        <v>62</v>
      </c>
      <c r="C129" s="17" t="s">
        <v>115</v>
      </c>
      <c r="D129" s="17" t="s">
        <v>116</v>
      </c>
      <c r="E129" s="18">
        <v>80</v>
      </c>
      <c r="F129" s="19" t="s">
        <v>37</v>
      </c>
      <c r="G129" s="19" t="s">
        <v>38</v>
      </c>
      <c r="H129" s="19" t="s">
        <v>117</v>
      </c>
      <c r="I129" s="20">
        <v>40831</v>
      </c>
    </row>
    <row r="130" spans="1:9" ht="15" customHeight="1">
      <c r="A130" s="16">
        <v>40831</v>
      </c>
      <c r="B130" s="17" t="s">
        <v>62</v>
      </c>
      <c r="C130" s="17" t="s">
        <v>115</v>
      </c>
      <c r="D130" s="17" t="s">
        <v>116</v>
      </c>
      <c r="E130" s="18">
        <v>35</v>
      </c>
      <c r="F130" s="19" t="s">
        <v>37</v>
      </c>
      <c r="G130" s="19" t="s">
        <v>65</v>
      </c>
      <c r="H130" s="19" t="s">
        <v>117</v>
      </c>
      <c r="I130" s="20">
        <v>40831</v>
      </c>
    </row>
    <row r="131" spans="1:9" ht="15" customHeight="1">
      <c r="A131" s="16">
        <v>40831</v>
      </c>
      <c r="B131" s="17" t="s">
        <v>34</v>
      </c>
      <c r="C131" s="17" t="s">
        <v>35</v>
      </c>
      <c r="D131" s="17" t="s">
        <v>36</v>
      </c>
      <c r="E131" s="18">
        <v>1000</v>
      </c>
      <c r="F131" s="19" t="s">
        <v>37</v>
      </c>
      <c r="G131" s="19" t="s">
        <v>38</v>
      </c>
      <c r="H131" s="19" t="s">
        <v>39</v>
      </c>
      <c r="I131" s="20">
        <v>40849</v>
      </c>
    </row>
    <row r="132" spans="1:9" ht="15" customHeight="1">
      <c r="A132" s="16">
        <v>40836</v>
      </c>
      <c r="B132" s="17" t="s">
        <v>58</v>
      </c>
      <c r="C132" s="17" t="s">
        <v>124</v>
      </c>
      <c r="D132" s="17" t="s">
        <v>125</v>
      </c>
      <c r="E132" s="18">
        <v>-20000</v>
      </c>
      <c r="F132" s="19" t="s">
        <v>126</v>
      </c>
      <c r="G132" s="19" t="s">
        <v>65</v>
      </c>
      <c r="H132" s="19" t="s">
        <v>127</v>
      </c>
      <c r="I132" s="20">
        <v>40836</v>
      </c>
    </row>
    <row r="133" spans="1:9" ht="15" customHeight="1">
      <c r="A133" s="16">
        <v>40836</v>
      </c>
      <c r="B133" s="17" t="s">
        <v>58</v>
      </c>
      <c r="C133" s="17" t="s">
        <v>124</v>
      </c>
      <c r="D133" s="17" t="s">
        <v>125</v>
      </c>
      <c r="E133" s="18">
        <v>20000</v>
      </c>
      <c r="F133" s="19" t="s">
        <v>126</v>
      </c>
      <c r="G133" s="19" t="s">
        <v>38</v>
      </c>
      <c r="H133" s="19" t="s">
        <v>127</v>
      </c>
      <c r="I133" s="20">
        <v>40836</v>
      </c>
    </row>
    <row r="134" spans="1:9" ht="15" customHeight="1">
      <c r="A134" s="16">
        <v>40838</v>
      </c>
      <c r="B134" s="17" t="s">
        <v>43</v>
      </c>
      <c r="C134" s="17" t="s">
        <v>35</v>
      </c>
      <c r="D134" s="17" t="s">
        <v>152</v>
      </c>
      <c r="E134" s="18">
        <v>289</v>
      </c>
      <c r="F134" s="19" t="s">
        <v>37</v>
      </c>
      <c r="G134" s="19" t="s">
        <v>38</v>
      </c>
      <c r="H134" s="19" t="s">
        <v>153</v>
      </c>
      <c r="I134" s="20">
        <v>40868</v>
      </c>
    </row>
    <row r="135" spans="1:9" ht="15" customHeight="1">
      <c r="A135" s="16">
        <v>40841</v>
      </c>
      <c r="B135" s="17" t="s">
        <v>54</v>
      </c>
      <c r="C135" s="17" t="s">
        <v>139</v>
      </c>
      <c r="D135" s="17" t="s">
        <v>140</v>
      </c>
      <c r="E135" s="18">
        <v>3300</v>
      </c>
      <c r="F135" s="19" t="s">
        <v>126</v>
      </c>
      <c r="G135" s="19" t="s">
        <v>38</v>
      </c>
      <c r="H135" s="19" t="s">
        <v>141</v>
      </c>
      <c r="I135" s="20">
        <v>40841</v>
      </c>
    </row>
    <row r="136" spans="1:9" ht="15" customHeight="1">
      <c r="A136" s="16">
        <v>40842</v>
      </c>
      <c r="B136" s="17" t="s">
        <v>58</v>
      </c>
      <c r="C136" s="17" t="s">
        <v>128</v>
      </c>
      <c r="D136" s="17" t="s">
        <v>129</v>
      </c>
      <c r="E136" s="18">
        <v>20000</v>
      </c>
      <c r="F136" s="19" t="s">
        <v>126</v>
      </c>
      <c r="G136" s="19" t="s">
        <v>65</v>
      </c>
      <c r="H136" s="19" t="s">
        <v>130</v>
      </c>
      <c r="I136" s="20">
        <v>40842</v>
      </c>
    </row>
    <row r="137" spans="1:9" ht="15" customHeight="1">
      <c r="A137" s="16">
        <v>40842</v>
      </c>
      <c r="B137" s="17" t="s">
        <v>55</v>
      </c>
      <c r="C137" s="17" t="s">
        <v>112</v>
      </c>
      <c r="D137" s="17" t="s">
        <v>131</v>
      </c>
      <c r="E137" s="18">
        <v>220</v>
      </c>
      <c r="F137" s="19" t="s">
        <v>126</v>
      </c>
      <c r="G137" s="19" t="s">
        <v>38</v>
      </c>
      <c r="H137" s="19" t="s">
        <v>132</v>
      </c>
      <c r="I137" s="20">
        <v>40842</v>
      </c>
    </row>
    <row r="138" spans="1:9" ht="15" customHeight="1">
      <c r="A138" s="16">
        <v>40842</v>
      </c>
      <c r="B138" s="17" t="s">
        <v>55</v>
      </c>
      <c r="C138" s="17" t="s">
        <v>112</v>
      </c>
      <c r="D138" s="17" t="s">
        <v>133</v>
      </c>
      <c r="E138" s="18">
        <v>100</v>
      </c>
      <c r="F138" s="19" t="s">
        <v>126</v>
      </c>
      <c r="G138" s="19" t="s">
        <v>38</v>
      </c>
      <c r="H138" s="19" t="s">
        <v>134</v>
      </c>
      <c r="I138" s="20">
        <v>40842</v>
      </c>
    </row>
    <row r="139" spans="1:9" ht="15" customHeight="1">
      <c r="A139" s="16">
        <v>40842</v>
      </c>
      <c r="B139" s="17" t="s">
        <v>48</v>
      </c>
      <c r="C139" s="17" t="s">
        <v>112</v>
      </c>
      <c r="D139" s="17" t="s">
        <v>135</v>
      </c>
      <c r="E139" s="18">
        <v>6400</v>
      </c>
      <c r="F139" s="19" t="s">
        <v>37</v>
      </c>
      <c r="G139" s="19" t="s">
        <v>38</v>
      </c>
      <c r="H139" s="19" t="s">
        <v>136</v>
      </c>
      <c r="I139" s="20">
        <v>40842</v>
      </c>
    </row>
    <row r="140" spans="1:9" ht="15" customHeight="1">
      <c r="A140" s="16">
        <v>40844</v>
      </c>
      <c r="B140" s="17" t="s">
        <v>53</v>
      </c>
      <c r="C140" s="17" t="s">
        <v>118</v>
      </c>
      <c r="D140" s="17" t="s">
        <v>119</v>
      </c>
      <c r="E140" s="18">
        <v>218</v>
      </c>
      <c r="F140" s="19" t="s">
        <v>37</v>
      </c>
      <c r="G140" s="19" t="s">
        <v>66</v>
      </c>
      <c r="H140" s="19" t="s">
        <v>120</v>
      </c>
      <c r="I140" s="20">
        <v>40844</v>
      </c>
    </row>
    <row r="141" spans="1:9" ht="15" customHeight="1">
      <c r="A141" s="16">
        <v>40847</v>
      </c>
      <c r="B141" s="17" t="s">
        <v>58</v>
      </c>
      <c r="C141" s="17" t="s">
        <v>115</v>
      </c>
      <c r="D141" s="17" t="s">
        <v>137</v>
      </c>
      <c r="E141" s="18">
        <v>200</v>
      </c>
      <c r="F141" s="19" t="s">
        <v>126</v>
      </c>
      <c r="G141" s="19" t="s">
        <v>38</v>
      </c>
      <c r="H141" s="19" t="s">
        <v>127</v>
      </c>
      <c r="I141" s="20">
        <v>40847</v>
      </c>
    </row>
    <row r="142" spans="1:9" ht="15" customHeight="1">
      <c r="A142" s="16">
        <v>40847</v>
      </c>
      <c r="B142" s="17" t="s">
        <v>58</v>
      </c>
      <c r="C142" s="17" t="s">
        <v>115</v>
      </c>
      <c r="D142" s="17" t="s">
        <v>137</v>
      </c>
      <c r="E142" s="18">
        <v>-200</v>
      </c>
      <c r="F142" s="19" t="s">
        <v>126</v>
      </c>
      <c r="G142" s="19" t="s">
        <v>66</v>
      </c>
      <c r="H142" s="19" t="s">
        <v>127</v>
      </c>
      <c r="I142" s="20">
        <v>40847</v>
      </c>
    </row>
    <row r="143" spans="1:9" ht="15" customHeight="1">
      <c r="A143" s="16">
        <v>40848</v>
      </c>
      <c r="B143" s="17" t="s">
        <v>52</v>
      </c>
      <c r="C143" s="17" t="s">
        <v>181</v>
      </c>
      <c r="D143" s="17" t="s">
        <v>107</v>
      </c>
      <c r="E143" s="18">
        <v>179</v>
      </c>
      <c r="F143" s="19" t="s">
        <v>37</v>
      </c>
      <c r="G143" s="19" t="s">
        <v>38</v>
      </c>
      <c r="H143" s="19" t="s">
        <v>108</v>
      </c>
      <c r="I143" s="20">
        <v>40878</v>
      </c>
    </row>
    <row r="144" spans="1:9" ht="15" customHeight="1">
      <c r="A144" s="16">
        <v>40852</v>
      </c>
      <c r="B144" s="17" t="s">
        <v>59</v>
      </c>
      <c r="C144" s="17" t="s">
        <v>112</v>
      </c>
      <c r="D144" s="17" t="s">
        <v>113</v>
      </c>
      <c r="E144" s="18">
        <v>340</v>
      </c>
      <c r="F144" s="19" t="s">
        <v>37</v>
      </c>
      <c r="G144" s="19" t="s">
        <v>38</v>
      </c>
      <c r="H144" s="19" t="s">
        <v>114</v>
      </c>
      <c r="I144" s="20">
        <v>40852</v>
      </c>
    </row>
    <row r="145" spans="1:9" ht="15" customHeight="1">
      <c r="A145" s="16">
        <v>40852</v>
      </c>
      <c r="B145" s="17" t="s">
        <v>41</v>
      </c>
      <c r="C145" s="17" t="s">
        <v>182</v>
      </c>
      <c r="D145" s="17" t="s">
        <v>163</v>
      </c>
      <c r="E145" s="18">
        <v>982</v>
      </c>
      <c r="F145" s="19" t="s">
        <v>37</v>
      </c>
      <c r="G145" s="19" t="s">
        <v>38</v>
      </c>
      <c r="H145" s="19" t="s">
        <v>164</v>
      </c>
      <c r="I145" s="20">
        <v>40882</v>
      </c>
    </row>
    <row r="146" spans="1:9" ht="15" customHeight="1">
      <c r="A146" s="16">
        <v>40862</v>
      </c>
      <c r="B146" s="17" t="s">
        <v>62</v>
      </c>
      <c r="C146" s="17" t="s">
        <v>115</v>
      </c>
      <c r="D146" s="17" t="s">
        <v>116</v>
      </c>
      <c r="E146" s="18">
        <v>80</v>
      </c>
      <c r="F146" s="19" t="s">
        <v>37</v>
      </c>
      <c r="G146" s="19" t="s">
        <v>38</v>
      </c>
      <c r="H146" s="19" t="s">
        <v>117</v>
      </c>
      <c r="I146" s="20">
        <v>40862</v>
      </c>
    </row>
    <row r="147" spans="1:9" ht="15" customHeight="1">
      <c r="A147" s="16">
        <v>40862</v>
      </c>
      <c r="B147" s="17" t="s">
        <v>62</v>
      </c>
      <c r="C147" s="17" t="s">
        <v>115</v>
      </c>
      <c r="D147" s="17" t="s">
        <v>116</v>
      </c>
      <c r="E147" s="18">
        <v>35</v>
      </c>
      <c r="F147" s="19" t="s">
        <v>37</v>
      </c>
      <c r="G147" s="19" t="s">
        <v>65</v>
      </c>
      <c r="H147" s="19" t="s">
        <v>117</v>
      </c>
      <c r="I147" s="20">
        <v>40862</v>
      </c>
    </row>
    <row r="148" spans="1:9" ht="15" customHeight="1">
      <c r="A148" s="16">
        <v>40862</v>
      </c>
      <c r="B148" s="17" t="s">
        <v>34</v>
      </c>
      <c r="C148" s="17" t="s">
        <v>35</v>
      </c>
      <c r="D148" s="17" t="s">
        <v>36</v>
      </c>
      <c r="E148" s="18">
        <v>1000</v>
      </c>
      <c r="F148" s="19" t="s">
        <v>37</v>
      </c>
      <c r="G148" s="19" t="s">
        <v>38</v>
      </c>
      <c r="H148" s="19" t="s">
        <v>39</v>
      </c>
      <c r="I148" s="20">
        <v>40880</v>
      </c>
    </row>
    <row r="149" spans="1:9" ht="15" customHeight="1">
      <c r="A149" s="16">
        <v>40866</v>
      </c>
      <c r="B149" s="17" t="s">
        <v>53</v>
      </c>
      <c r="C149" s="17" t="s">
        <v>118</v>
      </c>
      <c r="D149" s="17" t="s">
        <v>119</v>
      </c>
      <c r="E149" s="18">
        <v>102</v>
      </c>
      <c r="F149" s="19" t="s">
        <v>37</v>
      </c>
      <c r="G149" s="19" t="s">
        <v>66</v>
      </c>
      <c r="H149" s="19" t="s">
        <v>120</v>
      </c>
      <c r="I149" s="20">
        <v>40866</v>
      </c>
    </row>
    <row r="150" spans="1:9" ht="15" customHeight="1">
      <c r="A150" s="16">
        <v>40867</v>
      </c>
      <c r="B150" s="17" t="s">
        <v>58</v>
      </c>
      <c r="C150" s="17" t="s">
        <v>124</v>
      </c>
      <c r="D150" s="17" t="s">
        <v>125</v>
      </c>
      <c r="E150" s="18">
        <v>-20000</v>
      </c>
      <c r="F150" s="19" t="s">
        <v>126</v>
      </c>
      <c r="G150" s="19" t="s">
        <v>65</v>
      </c>
      <c r="H150" s="19" t="s">
        <v>127</v>
      </c>
      <c r="I150" s="20">
        <v>40867</v>
      </c>
    </row>
    <row r="151" spans="1:9" ht="15" customHeight="1">
      <c r="A151" s="16">
        <v>40867</v>
      </c>
      <c r="B151" s="17" t="s">
        <v>58</v>
      </c>
      <c r="C151" s="17" t="s">
        <v>124</v>
      </c>
      <c r="D151" s="17" t="s">
        <v>125</v>
      </c>
      <c r="E151" s="18">
        <v>20000</v>
      </c>
      <c r="F151" s="19" t="s">
        <v>126</v>
      </c>
      <c r="G151" s="19" t="s">
        <v>38</v>
      </c>
      <c r="H151" s="19" t="s">
        <v>127</v>
      </c>
      <c r="I151" s="20">
        <v>40867</v>
      </c>
    </row>
    <row r="152" spans="1:9" ht="15" customHeight="1">
      <c r="A152" s="16">
        <v>40873</v>
      </c>
      <c r="B152" s="17" t="s">
        <v>58</v>
      </c>
      <c r="C152" s="17" t="s">
        <v>128</v>
      </c>
      <c r="D152" s="17" t="s">
        <v>129</v>
      </c>
      <c r="E152" s="18">
        <v>20000</v>
      </c>
      <c r="F152" s="19" t="s">
        <v>126</v>
      </c>
      <c r="G152" s="19" t="s">
        <v>65</v>
      </c>
      <c r="H152" s="19" t="s">
        <v>130</v>
      </c>
      <c r="I152" s="20">
        <v>40873</v>
      </c>
    </row>
    <row r="153" spans="1:9" ht="15" customHeight="1">
      <c r="A153" s="16">
        <v>40873</v>
      </c>
      <c r="B153" s="17" t="s">
        <v>55</v>
      </c>
      <c r="C153" s="17" t="s">
        <v>112</v>
      </c>
      <c r="D153" s="17" t="s">
        <v>131</v>
      </c>
      <c r="E153" s="18">
        <v>220</v>
      </c>
      <c r="F153" s="19" t="s">
        <v>126</v>
      </c>
      <c r="G153" s="19" t="s">
        <v>38</v>
      </c>
      <c r="H153" s="19" t="s">
        <v>132</v>
      </c>
      <c r="I153" s="20">
        <v>40873</v>
      </c>
    </row>
    <row r="154" spans="1:9" ht="15" customHeight="1">
      <c r="A154" s="16">
        <v>40873</v>
      </c>
      <c r="B154" s="17" t="s">
        <v>55</v>
      </c>
      <c r="C154" s="17" t="s">
        <v>112</v>
      </c>
      <c r="D154" s="17" t="s">
        <v>133</v>
      </c>
      <c r="E154" s="18">
        <v>100</v>
      </c>
      <c r="F154" s="19" t="s">
        <v>126</v>
      </c>
      <c r="G154" s="19" t="s">
        <v>38</v>
      </c>
      <c r="H154" s="19" t="s">
        <v>134</v>
      </c>
      <c r="I154" s="20">
        <v>40873</v>
      </c>
    </row>
    <row r="155" spans="1:9" ht="15" customHeight="1">
      <c r="A155" s="16">
        <v>40873</v>
      </c>
      <c r="B155" s="17" t="s">
        <v>48</v>
      </c>
      <c r="C155" s="17" t="s">
        <v>112</v>
      </c>
      <c r="D155" s="17" t="s">
        <v>135</v>
      </c>
      <c r="E155" s="18">
        <v>6400</v>
      </c>
      <c r="F155" s="19" t="s">
        <v>37</v>
      </c>
      <c r="G155" s="19" t="s">
        <v>38</v>
      </c>
      <c r="H155" s="19" t="s">
        <v>136</v>
      </c>
      <c r="I155" s="20">
        <v>40873</v>
      </c>
    </row>
    <row r="156" spans="1:9" ht="15" customHeight="1">
      <c r="A156" s="16">
        <v>40877</v>
      </c>
      <c r="B156" s="17" t="s">
        <v>58</v>
      </c>
      <c r="C156" s="17" t="s">
        <v>115</v>
      </c>
      <c r="D156" s="17" t="s">
        <v>137</v>
      </c>
      <c r="E156" s="18">
        <v>170</v>
      </c>
      <c r="F156" s="19" t="s">
        <v>126</v>
      </c>
      <c r="G156" s="19" t="s">
        <v>38</v>
      </c>
      <c r="H156" s="19" t="s">
        <v>127</v>
      </c>
      <c r="I156" s="20">
        <v>40877</v>
      </c>
    </row>
    <row r="157" spans="1:9" ht="15" customHeight="1">
      <c r="A157" s="16">
        <v>40877</v>
      </c>
      <c r="B157" s="17" t="s">
        <v>58</v>
      </c>
      <c r="C157" s="17" t="s">
        <v>115</v>
      </c>
      <c r="D157" s="17" t="s">
        <v>137</v>
      </c>
      <c r="E157" s="18">
        <v>-170</v>
      </c>
      <c r="F157" s="19" t="s">
        <v>126</v>
      </c>
      <c r="G157" s="19" t="s">
        <v>66</v>
      </c>
      <c r="H157" s="19" t="s">
        <v>127</v>
      </c>
      <c r="I157" s="20">
        <v>40877</v>
      </c>
    </row>
    <row r="158" spans="1:9" ht="15" customHeight="1">
      <c r="A158" s="16">
        <v>40878</v>
      </c>
      <c r="B158" s="17" t="s">
        <v>52</v>
      </c>
      <c r="C158" s="17" t="s">
        <v>183</v>
      </c>
      <c r="D158" s="17" t="s">
        <v>107</v>
      </c>
      <c r="E158" s="18">
        <v>179</v>
      </c>
      <c r="F158" s="19" t="s">
        <v>37</v>
      </c>
      <c r="G158" s="19" t="s">
        <v>38</v>
      </c>
      <c r="H158" s="19" t="s">
        <v>108</v>
      </c>
      <c r="I158" s="20">
        <v>40908</v>
      </c>
    </row>
    <row r="159" spans="1:9" ht="15" customHeight="1">
      <c r="A159" s="16">
        <v>40882</v>
      </c>
      <c r="B159" s="17" t="s">
        <v>59</v>
      </c>
      <c r="C159" s="17" t="s">
        <v>112</v>
      </c>
      <c r="D159" s="17" t="s">
        <v>113</v>
      </c>
      <c r="E159" s="18">
        <v>340</v>
      </c>
      <c r="F159" s="19" t="s">
        <v>37</v>
      </c>
      <c r="G159" s="19" t="s">
        <v>38</v>
      </c>
      <c r="H159" s="19" t="s">
        <v>114</v>
      </c>
      <c r="I159" s="20">
        <v>40882</v>
      </c>
    </row>
    <row r="160" spans="1:9" ht="15" customHeight="1">
      <c r="A160" s="16">
        <v>40883</v>
      </c>
      <c r="B160" s="17" t="s">
        <v>53</v>
      </c>
      <c r="C160" s="17" t="s">
        <v>118</v>
      </c>
      <c r="D160" s="17" t="s">
        <v>119</v>
      </c>
      <c r="E160" s="18">
        <v>96</v>
      </c>
      <c r="F160" s="19" t="s">
        <v>37</v>
      </c>
      <c r="G160" s="19" t="s">
        <v>66</v>
      </c>
      <c r="H160" s="19" t="s">
        <v>120</v>
      </c>
      <c r="I160" s="20">
        <v>40883</v>
      </c>
    </row>
    <row r="161" spans="1:9" ht="15" customHeight="1">
      <c r="A161" s="16">
        <v>40892</v>
      </c>
      <c r="B161" s="17" t="s">
        <v>62</v>
      </c>
      <c r="C161" s="17" t="s">
        <v>115</v>
      </c>
      <c r="D161" s="17" t="s">
        <v>116</v>
      </c>
      <c r="E161" s="18">
        <v>80</v>
      </c>
      <c r="F161" s="19" t="s">
        <v>37</v>
      </c>
      <c r="G161" s="19" t="s">
        <v>38</v>
      </c>
      <c r="H161" s="19" t="s">
        <v>117</v>
      </c>
      <c r="I161" s="20">
        <v>40892</v>
      </c>
    </row>
    <row r="162" spans="1:9" ht="15" customHeight="1">
      <c r="A162" s="16">
        <v>40892</v>
      </c>
      <c r="B162" s="17" t="s">
        <v>62</v>
      </c>
      <c r="C162" s="17" t="s">
        <v>115</v>
      </c>
      <c r="D162" s="17" t="s">
        <v>116</v>
      </c>
      <c r="E162" s="18">
        <v>35</v>
      </c>
      <c r="F162" s="19" t="s">
        <v>37</v>
      </c>
      <c r="G162" s="19" t="s">
        <v>65</v>
      </c>
      <c r="H162" s="19" t="s">
        <v>117</v>
      </c>
      <c r="I162" s="20">
        <v>40892</v>
      </c>
    </row>
    <row r="163" spans="1:9" ht="15" customHeight="1">
      <c r="A163" s="16">
        <v>40892</v>
      </c>
      <c r="B163" s="17" t="s">
        <v>34</v>
      </c>
      <c r="C163" s="17" t="s">
        <v>35</v>
      </c>
      <c r="D163" s="17" t="s">
        <v>36</v>
      </c>
      <c r="E163" s="18">
        <v>1000</v>
      </c>
      <c r="F163" s="19" t="s">
        <v>37</v>
      </c>
      <c r="G163" s="19" t="s">
        <v>38</v>
      </c>
      <c r="H163" s="19" t="s">
        <v>39</v>
      </c>
      <c r="I163" s="20">
        <v>40910</v>
      </c>
    </row>
    <row r="164" spans="1:9" ht="15" customHeight="1">
      <c r="A164" s="16">
        <v>40894</v>
      </c>
      <c r="B164" s="17" t="s">
        <v>49</v>
      </c>
      <c r="C164" s="17" t="s">
        <v>184</v>
      </c>
      <c r="D164" s="17" t="s">
        <v>110</v>
      </c>
      <c r="E164" s="18">
        <v>120</v>
      </c>
      <c r="F164" s="19" t="s">
        <v>37</v>
      </c>
      <c r="G164" s="19" t="s">
        <v>38</v>
      </c>
      <c r="H164" s="19" t="s">
        <v>111</v>
      </c>
      <c r="I164" s="20">
        <v>40924</v>
      </c>
    </row>
    <row r="165" spans="1:9" ht="15" customHeight="1">
      <c r="A165" s="16">
        <v>40894</v>
      </c>
      <c r="B165" s="17" t="s">
        <v>43</v>
      </c>
      <c r="C165" s="17" t="s">
        <v>35</v>
      </c>
      <c r="D165" s="17" t="s">
        <v>152</v>
      </c>
      <c r="E165" s="18">
        <v>310</v>
      </c>
      <c r="F165" s="19" t="s">
        <v>37</v>
      </c>
      <c r="G165" s="19" t="s">
        <v>38</v>
      </c>
      <c r="H165" s="19" t="s">
        <v>153</v>
      </c>
      <c r="I165" s="20">
        <v>40924</v>
      </c>
    </row>
    <row r="166" spans="1:9" ht="15" customHeight="1">
      <c r="A166" s="16">
        <v>40894</v>
      </c>
      <c r="B166" s="17" t="s">
        <v>41</v>
      </c>
      <c r="C166" s="17" t="s">
        <v>185</v>
      </c>
      <c r="D166" s="17" t="s">
        <v>163</v>
      </c>
      <c r="E166" s="18">
        <v>962</v>
      </c>
      <c r="F166" s="19" t="s">
        <v>37</v>
      </c>
      <c r="G166" s="19" t="s">
        <v>38</v>
      </c>
      <c r="H166" s="19" t="s">
        <v>164</v>
      </c>
      <c r="I166" s="20">
        <v>40924</v>
      </c>
    </row>
    <row r="167" spans="1:9" ht="15" customHeight="1">
      <c r="A167" s="16">
        <v>40897</v>
      </c>
      <c r="B167" s="17" t="s">
        <v>58</v>
      </c>
      <c r="C167" s="17" t="s">
        <v>124</v>
      </c>
      <c r="D167" s="17" t="s">
        <v>125</v>
      </c>
      <c r="E167" s="18">
        <v>-20000</v>
      </c>
      <c r="F167" s="19" t="s">
        <v>126</v>
      </c>
      <c r="G167" s="19" t="s">
        <v>65</v>
      </c>
      <c r="H167" s="19" t="s">
        <v>127</v>
      </c>
      <c r="I167" s="20">
        <v>40897</v>
      </c>
    </row>
    <row r="168" spans="1:9" ht="15" customHeight="1">
      <c r="A168" s="16">
        <v>40897</v>
      </c>
      <c r="B168" s="17" t="s">
        <v>58</v>
      </c>
      <c r="C168" s="17" t="s">
        <v>124</v>
      </c>
      <c r="D168" s="17" t="s">
        <v>125</v>
      </c>
      <c r="E168" s="18">
        <v>20000</v>
      </c>
      <c r="F168" s="19" t="s">
        <v>126</v>
      </c>
      <c r="G168" s="19" t="s">
        <v>38</v>
      </c>
      <c r="H168" s="19" t="s">
        <v>127</v>
      </c>
      <c r="I168" s="20">
        <v>40897</v>
      </c>
    </row>
    <row r="169" spans="1:9" ht="15" customHeight="1">
      <c r="A169" s="16">
        <v>40899</v>
      </c>
      <c r="B169" s="17" t="s">
        <v>56</v>
      </c>
      <c r="C169" s="17" t="s">
        <v>186</v>
      </c>
      <c r="D169" s="17" t="s">
        <v>145</v>
      </c>
      <c r="E169" s="18">
        <v>61</v>
      </c>
      <c r="F169" s="19" t="s">
        <v>37</v>
      </c>
      <c r="G169" s="19" t="s">
        <v>66</v>
      </c>
      <c r="H169" s="19" t="s">
        <v>146</v>
      </c>
      <c r="I169" s="20">
        <v>40929</v>
      </c>
    </row>
    <row r="170" spans="1:9" ht="15" customHeight="1">
      <c r="A170" s="16">
        <v>40902</v>
      </c>
      <c r="B170" s="17" t="s">
        <v>54</v>
      </c>
      <c r="C170" s="17" t="s">
        <v>139</v>
      </c>
      <c r="D170" s="17" t="s">
        <v>140</v>
      </c>
      <c r="E170" s="18">
        <v>8400</v>
      </c>
      <c r="F170" s="19" t="s">
        <v>126</v>
      </c>
      <c r="G170" s="19" t="s">
        <v>38</v>
      </c>
      <c r="H170" s="19" t="s">
        <v>141</v>
      </c>
      <c r="I170" s="20">
        <v>40902</v>
      </c>
    </row>
    <row r="171" spans="1:9" ht="15" customHeight="1">
      <c r="A171" s="16">
        <v>40903</v>
      </c>
      <c r="B171" s="17" t="s">
        <v>58</v>
      </c>
      <c r="C171" s="17" t="s">
        <v>128</v>
      </c>
      <c r="D171" s="17" t="s">
        <v>129</v>
      </c>
      <c r="E171" s="18">
        <v>20000</v>
      </c>
      <c r="F171" s="19" t="s">
        <v>126</v>
      </c>
      <c r="G171" s="19" t="s">
        <v>65</v>
      </c>
      <c r="H171" s="19" t="s">
        <v>130</v>
      </c>
      <c r="I171" s="20">
        <v>40903</v>
      </c>
    </row>
    <row r="172" spans="1:9" ht="15" customHeight="1">
      <c r="A172" s="16">
        <v>40903</v>
      </c>
      <c r="B172" s="17" t="s">
        <v>55</v>
      </c>
      <c r="C172" s="17" t="s">
        <v>112</v>
      </c>
      <c r="D172" s="17" t="s">
        <v>131</v>
      </c>
      <c r="E172" s="18">
        <v>220</v>
      </c>
      <c r="F172" s="19" t="s">
        <v>126</v>
      </c>
      <c r="G172" s="19" t="s">
        <v>38</v>
      </c>
      <c r="H172" s="19" t="s">
        <v>132</v>
      </c>
      <c r="I172" s="20">
        <v>40903</v>
      </c>
    </row>
    <row r="173" spans="1:9" ht="15" customHeight="1">
      <c r="A173" s="16">
        <v>40903</v>
      </c>
      <c r="B173" s="17" t="s">
        <v>55</v>
      </c>
      <c r="C173" s="17" t="s">
        <v>112</v>
      </c>
      <c r="D173" s="17" t="s">
        <v>133</v>
      </c>
      <c r="E173" s="18">
        <v>100</v>
      </c>
      <c r="F173" s="19" t="s">
        <v>126</v>
      </c>
      <c r="G173" s="19" t="s">
        <v>38</v>
      </c>
      <c r="H173" s="19" t="s">
        <v>134</v>
      </c>
      <c r="I173" s="20">
        <v>40903</v>
      </c>
    </row>
    <row r="174" spans="1:9" ht="15" customHeight="1">
      <c r="A174" s="16">
        <v>40903</v>
      </c>
      <c r="B174" s="17" t="s">
        <v>48</v>
      </c>
      <c r="C174" s="17" t="s">
        <v>112</v>
      </c>
      <c r="D174" s="17" t="s">
        <v>135</v>
      </c>
      <c r="E174" s="18">
        <v>6400</v>
      </c>
      <c r="F174" s="19" t="s">
        <v>37</v>
      </c>
      <c r="G174" s="19" t="s">
        <v>38</v>
      </c>
      <c r="H174" s="19" t="s">
        <v>136</v>
      </c>
      <c r="I174" s="20">
        <v>40903</v>
      </c>
    </row>
    <row r="175" spans="1:9" ht="15" customHeight="1">
      <c r="A175" s="16">
        <v>40908</v>
      </c>
      <c r="B175" s="17" t="s">
        <v>58</v>
      </c>
      <c r="C175" s="17" t="s">
        <v>115</v>
      </c>
      <c r="D175" s="17" t="s">
        <v>137</v>
      </c>
      <c r="E175" s="18">
        <v>100</v>
      </c>
      <c r="F175" s="19" t="s">
        <v>126</v>
      </c>
      <c r="G175" s="19" t="s">
        <v>38</v>
      </c>
      <c r="H175" s="19" t="s">
        <v>127</v>
      </c>
      <c r="I175" s="20">
        <v>40908</v>
      </c>
    </row>
    <row r="176" spans="1:9" ht="15" customHeight="1">
      <c r="A176" s="16">
        <v>40908</v>
      </c>
      <c r="B176" s="17" t="s">
        <v>58</v>
      </c>
      <c r="C176" s="17" t="s">
        <v>115</v>
      </c>
      <c r="D176" s="17" t="s">
        <v>137</v>
      </c>
      <c r="E176" s="18">
        <v>-100</v>
      </c>
      <c r="F176" s="19" t="s">
        <v>126</v>
      </c>
      <c r="G176" s="19" t="s">
        <v>66</v>
      </c>
      <c r="H176" s="19" t="s">
        <v>127</v>
      </c>
      <c r="I176" s="20">
        <v>40908</v>
      </c>
    </row>
    <row r="177" spans="1:9" ht="15" customHeight="1">
      <c r="A177" s="16">
        <v>40909</v>
      </c>
      <c r="B177" s="17" t="s">
        <v>52</v>
      </c>
      <c r="C177" s="17" t="s">
        <v>187</v>
      </c>
      <c r="D177" s="17" t="s">
        <v>107</v>
      </c>
      <c r="E177" s="18">
        <v>179</v>
      </c>
      <c r="F177" s="19" t="s">
        <v>37</v>
      </c>
      <c r="G177" s="19" t="s">
        <v>38</v>
      </c>
      <c r="H177" s="19" t="s">
        <v>108</v>
      </c>
      <c r="I177" s="20">
        <v>40939</v>
      </c>
    </row>
    <row r="178" spans="1:9" ht="15" customHeight="1">
      <c r="A178" s="16">
        <v>40913</v>
      </c>
      <c r="B178" s="17" t="s">
        <v>59</v>
      </c>
      <c r="C178" s="17" t="s">
        <v>112</v>
      </c>
      <c r="D178" s="17" t="s">
        <v>113</v>
      </c>
      <c r="E178" s="18">
        <v>340</v>
      </c>
      <c r="F178" s="19" t="s">
        <v>37</v>
      </c>
      <c r="G178" s="19" t="s">
        <v>38</v>
      </c>
      <c r="H178" s="19" t="s">
        <v>114</v>
      </c>
      <c r="I178" s="20">
        <v>40913</v>
      </c>
    </row>
    <row r="179" spans="1:9" ht="15" customHeight="1">
      <c r="A179" s="16">
        <v>40923</v>
      </c>
      <c r="B179" s="17" t="s">
        <v>62</v>
      </c>
      <c r="C179" s="17" t="s">
        <v>115</v>
      </c>
      <c r="D179" s="17" t="s">
        <v>116</v>
      </c>
      <c r="E179" s="18">
        <v>80</v>
      </c>
      <c r="F179" s="19" t="s">
        <v>37</v>
      </c>
      <c r="G179" s="19" t="s">
        <v>38</v>
      </c>
      <c r="H179" s="19" t="s">
        <v>117</v>
      </c>
      <c r="I179" s="20">
        <v>40923</v>
      </c>
    </row>
    <row r="180" spans="1:9" ht="15" customHeight="1">
      <c r="A180" s="16">
        <v>40923</v>
      </c>
      <c r="B180" s="17" t="s">
        <v>62</v>
      </c>
      <c r="C180" s="17" t="s">
        <v>115</v>
      </c>
      <c r="D180" s="17" t="s">
        <v>116</v>
      </c>
      <c r="E180" s="18">
        <v>35</v>
      </c>
      <c r="F180" s="19" t="s">
        <v>37</v>
      </c>
      <c r="G180" s="19" t="s">
        <v>65</v>
      </c>
      <c r="H180" s="19" t="s">
        <v>117</v>
      </c>
      <c r="I180" s="20">
        <v>40923</v>
      </c>
    </row>
    <row r="181" spans="1:9" ht="15" customHeight="1">
      <c r="A181" s="16">
        <v>40923</v>
      </c>
      <c r="B181" s="17" t="s">
        <v>34</v>
      </c>
      <c r="C181" s="17" t="s">
        <v>35</v>
      </c>
      <c r="D181" s="17" t="s">
        <v>36</v>
      </c>
      <c r="E181" s="18">
        <v>1000</v>
      </c>
      <c r="F181" s="19" t="s">
        <v>37</v>
      </c>
      <c r="G181" s="19" t="s">
        <v>38</v>
      </c>
      <c r="H181" s="19" t="s">
        <v>39</v>
      </c>
      <c r="I181" s="20">
        <v>40941</v>
      </c>
    </row>
    <row r="182" spans="1:9" ht="15" customHeight="1">
      <c r="A182" s="16">
        <v>40924</v>
      </c>
      <c r="B182" s="17" t="s">
        <v>53</v>
      </c>
      <c r="C182" s="17" t="s">
        <v>118</v>
      </c>
      <c r="D182" s="17" t="s">
        <v>119</v>
      </c>
      <c r="E182" s="18">
        <v>105</v>
      </c>
      <c r="F182" s="19" t="s">
        <v>37</v>
      </c>
      <c r="G182" s="19" t="s">
        <v>66</v>
      </c>
      <c r="H182" s="19" t="s">
        <v>120</v>
      </c>
      <c r="I182" s="20">
        <v>40924</v>
      </c>
    </row>
    <row r="183" spans="1:9" ht="15" customHeight="1">
      <c r="A183" s="16">
        <v>40928</v>
      </c>
      <c r="B183" s="17" t="s">
        <v>58</v>
      </c>
      <c r="C183" s="17" t="s">
        <v>124</v>
      </c>
      <c r="D183" s="17" t="s">
        <v>125</v>
      </c>
      <c r="E183" s="18">
        <v>-20000</v>
      </c>
      <c r="F183" s="19" t="s">
        <v>126</v>
      </c>
      <c r="G183" s="19" t="s">
        <v>65</v>
      </c>
      <c r="H183" s="19" t="s">
        <v>127</v>
      </c>
      <c r="I183" s="20">
        <v>40928</v>
      </c>
    </row>
    <row r="184" spans="1:9" ht="15" customHeight="1">
      <c r="A184" s="16">
        <v>40928</v>
      </c>
      <c r="B184" s="17" t="s">
        <v>58</v>
      </c>
      <c r="C184" s="17" t="s">
        <v>124</v>
      </c>
      <c r="D184" s="17" t="s">
        <v>125</v>
      </c>
      <c r="E184" s="18">
        <v>20000</v>
      </c>
      <c r="F184" s="19" t="s">
        <v>126</v>
      </c>
      <c r="G184" s="19" t="s">
        <v>38</v>
      </c>
      <c r="H184" s="19" t="s">
        <v>127</v>
      </c>
      <c r="I184" s="20">
        <v>40928</v>
      </c>
    </row>
    <row r="185" spans="1:9" ht="15" customHeight="1">
      <c r="A185" s="16">
        <v>40934</v>
      </c>
      <c r="B185" s="17" t="s">
        <v>58</v>
      </c>
      <c r="C185" s="17" t="s">
        <v>128</v>
      </c>
      <c r="D185" s="17" t="s">
        <v>129</v>
      </c>
      <c r="E185" s="18">
        <v>20000</v>
      </c>
      <c r="F185" s="19" t="s">
        <v>126</v>
      </c>
      <c r="G185" s="19" t="s">
        <v>65</v>
      </c>
      <c r="H185" s="19" t="s">
        <v>130</v>
      </c>
      <c r="I185" s="20">
        <v>40934</v>
      </c>
    </row>
    <row r="186" spans="1:9" ht="15" customHeight="1">
      <c r="A186" s="16">
        <v>40934</v>
      </c>
      <c r="B186" s="17" t="s">
        <v>55</v>
      </c>
      <c r="C186" s="17" t="s">
        <v>112</v>
      </c>
      <c r="D186" s="17" t="s">
        <v>131</v>
      </c>
      <c r="E186" s="18">
        <v>220</v>
      </c>
      <c r="F186" s="19" t="s">
        <v>126</v>
      </c>
      <c r="G186" s="19" t="s">
        <v>38</v>
      </c>
      <c r="H186" s="19" t="s">
        <v>132</v>
      </c>
      <c r="I186" s="20">
        <v>40934</v>
      </c>
    </row>
    <row r="187" spans="1:9" ht="15" customHeight="1">
      <c r="A187" s="16">
        <v>40934</v>
      </c>
      <c r="B187" s="17" t="s">
        <v>55</v>
      </c>
      <c r="C187" s="17" t="s">
        <v>112</v>
      </c>
      <c r="D187" s="17" t="s">
        <v>133</v>
      </c>
      <c r="E187" s="18">
        <v>100</v>
      </c>
      <c r="F187" s="19" t="s">
        <v>126</v>
      </c>
      <c r="G187" s="19" t="s">
        <v>38</v>
      </c>
      <c r="H187" s="19" t="s">
        <v>134</v>
      </c>
      <c r="I187" s="20">
        <v>40934</v>
      </c>
    </row>
    <row r="188" spans="1:9" ht="15" customHeight="1">
      <c r="A188" s="16">
        <v>40934</v>
      </c>
      <c r="B188" s="17" t="s">
        <v>48</v>
      </c>
      <c r="C188" s="17" t="s">
        <v>112</v>
      </c>
      <c r="D188" s="17" t="s">
        <v>135</v>
      </c>
      <c r="E188" s="18">
        <v>6400</v>
      </c>
      <c r="F188" s="19" t="s">
        <v>37</v>
      </c>
      <c r="G188" s="19" t="s">
        <v>38</v>
      </c>
      <c r="H188" s="19" t="s">
        <v>136</v>
      </c>
      <c r="I188" s="20">
        <v>40934</v>
      </c>
    </row>
    <row r="189" spans="1:9" ht="15" customHeight="1">
      <c r="A189" s="16">
        <v>40934</v>
      </c>
      <c r="B189" s="17" t="s">
        <v>44</v>
      </c>
      <c r="C189" s="17" t="s">
        <v>35</v>
      </c>
      <c r="D189" s="17" t="s">
        <v>188</v>
      </c>
      <c r="E189" s="18">
        <v>389.25</v>
      </c>
      <c r="F189" s="19" t="s">
        <v>37</v>
      </c>
      <c r="G189" s="19" t="s">
        <v>38</v>
      </c>
      <c r="H189" s="19" t="s">
        <v>149</v>
      </c>
      <c r="I189" s="20">
        <v>40939</v>
      </c>
    </row>
    <row r="190" spans="1:9" ht="15" customHeight="1">
      <c r="A190" s="16">
        <v>40936</v>
      </c>
      <c r="B190" s="17" t="s">
        <v>41</v>
      </c>
      <c r="C190" s="17" t="s">
        <v>189</v>
      </c>
      <c r="D190" s="17" t="s">
        <v>163</v>
      </c>
      <c r="E190" s="18">
        <v>514</v>
      </c>
      <c r="F190" s="19" t="s">
        <v>37</v>
      </c>
      <c r="G190" s="19" t="s">
        <v>38</v>
      </c>
      <c r="H190" s="19" t="s">
        <v>164</v>
      </c>
      <c r="I190" s="20">
        <v>40966</v>
      </c>
    </row>
    <row r="191" spans="1:9" ht="15" customHeight="1">
      <c r="A191" s="16">
        <v>40939</v>
      </c>
      <c r="B191" s="17" t="s">
        <v>58</v>
      </c>
      <c r="C191" s="17" t="s">
        <v>115</v>
      </c>
      <c r="D191" s="17" t="s">
        <v>137</v>
      </c>
      <c r="E191" s="18">
        <v>170</v>
      </c>
      <c r="F191" s="19" t="s">
        <v>126</v>
      </c>
      <c r="G191" s="19" t="s">
        <v>38</v>
      </c>
      <c r="H191" s="19" t="s">
        <v>127</v>
      </c>
      <c r="I191" s="20">
        <v>40939</v>
      </c>
    </row>
    <row r="192" spans="1:9" ht="15" customHeight="1">
      <c r="A192" s="16">
        <v>40939</v>
      </c>
      <c r="B192" s="17" t="s">
        <v>58</v>
      </c>
      <c r="C192" s="17" t="s">
        <v>115</v>
      </c>
      <c r="D192" s="17" t="s">
        <v>137</v>
      </c>
      <c r="E192" s="18">
        <v>-170</v>
      </c>
      <c r="F192" s="19" t="s">
        <v>126</v>
      </c>
      <c r="G192" s="19" t="s">
        <v>66</v>
      </c>
      <c r="H192" s="19" t="s">
        <v>127</v>
      </c>
      <c r="I192" s="20">
        <v>40939</v>
      </c>
    </row>
    <row r="193" spans="1:9" ht="15" customHeight="1">
      <c r="A193" s="16">
        <v>40940</v>
      </c>
      <c r="B193" s="17" t="s">
        <v>52</v>
      </c>
      <c r="C193" s="17" t="s">
        <v>190</v>
      </c>
      <c r="D193" s="17" t="s">
        <v>107</v>
      </c>
      <c r="E193" s="18">
        <v>179</v>
      </c>
      <c r="F193" s="19" t="s">
        <v>37</v>
      </c>
      <c r="G193" s="19" t="s">
        <v>38</v>
      </c>
      <c r="H193" s="19" t="s">
        <v>108</v>
      </c>
      <c r="I193" s="20"/>
    </row>
    <row r="194" spans="1:9" ht="15" customHeight="1">
      <c r="A194" s="16">
        <v>40944</v>
      </c>
      <c r="B194" s="17" t="s">
        <v>59</v>
      </c>
      <c r="C194" s="17" t="s">
        <v>112</v>
      </c>
      <c r="D194" s="17" t="s">
        <v>113</v>
      </c>
      <c r="E194" s="18">
        <v>340</v>
      </c>
      <c r="F194" s="19" t="s">
        <v>37</v>
      </c>
      <c r="G194" s="19" t="s">
        <v>38</v>
      </c>
      <c r="H194" s="19" t="s">
        <v>114</v>
      </c>
      <c r="I194" s="20">
        <v>40944</v>
      </c>
    </row>
    <row r="195" spans="1:9" ht="15" customHeight="1">
      <c r="A195" s="16">
        <v>40950</v>
      </c>
      <c r="B195" s="17" t="s">
        <v>43</v>
      </c>
      <c r="C195" s="17" t="s">
        <v>35</v>
      </c>
      <c r="D195" s="17" t="s">
        <v>152</v>
      </c>
      <c r="E195" s="18">
        <v>289</v>
      </c>
      <c r="F195" s="19" t="s">
        <v>37</v>
      </c>
      <c r="G195" s="19" t="s">
        <v>38</v>
      </c>
      <c r="H195" s="19" t="s">
        <v>153</v>
      </c>
      <c r="I195" s="20"/>
    </row>
    <row r="196" spans="1:9" ht="15" customHeight="1">
      <c r="A196" s="16">
        <v>40954</v>
      </c>
      <c r="B196" s="17" t="s">
        <v>62</v>
      </c>
      <c r="C196" s="17" t="s">
        <v>115</v>
      </c>
      <c r="D196" s="17" t="s">
        <v>116</v>
      </c>
      <c r="E196" s="18">
        <v>80</v>
      </c>
      <c r="F196" s="19" t="s">
        <v>37</v>
      </c>
      <c r="G196" s="19" t="s">
        <v>38</v>
      </c>
      <c r="H196" s="19" t="s">
        <v>117</v>
      </c>
      <c r="I196" s="20">
        <v>40954</v>
      </c>
    </row>
    <row r="197" spans="1:9" ht="15" customHeight="1">
      <c r="A197" s="16">
        <v>40954</v>
      </c>
      <c r="B197" s="17" t="s">
        <v>62</v>
      </c>
      <c r="C197" s="17" t="s">
        <v>115</v>
      </c>
      <c r="D197" s="17" t="s">
        <v>116</v>
      </c>
      <c r="E197" s="18">
        <v>35</v>
      </c>
      <c r="F197" s="19" t="s">
        <v>37</v>
      </c>
      <c r="G197" s="19" t="s">
        <v>65</v>
      </c>
      <c r="H197" s="19" t="s">
        <v>117</v>
      </c>
      <c r="I197" s="20">
        <v>40954</v>
      </c>
    </row>
    <row r="198" spans="1:9" ht="15" customHeight="1">
      <c r="A198" s="16">
        <v>40954</v>
      </c>
      <c r="B198" s="17" t="s">
        <v>34</v>
      </c>
      <c r="C198" s="17" t="s">
        <v>35</v>
      </c>
      <c r="D198" s="17" t="s">
        <v>36</v>
      </c>
      <c r="E198" s="18">
        <v>1000</v>
      </c>
      <c r="F198" s="19" t="s">
        <v>37</v>
      </c>
      <c r="G198" s="19" t="s">
        <v>38</v>
      </c>
      <c r="H198" s="19" t="s">
        <v>39</v>
      </c>
      <c r="I198" s="20"/>
    </row>
    <row r="199" spans="1:9" ht="15" customHeight="1">
      <c r="A199" s="16">
        <v>40959</v>
      </c>
      <c r="B199" s="17" t="s">
        <v>58</v>
      </c>
      <c r="C199" s="17" t="s">
        <v>124</v>
      </c>
      <c r="D199" s="17" t="s">
        <v>125</v>
      </c>
      <c r="E199" s="18">
        <v>-20000</v>
      </c>
      <c r="F199" s="19" t="s">
        <v>126</v>
      </c>
      <c r="G199" s="19" t="s">
        <v>65</v>
      </c>
      <c r="H199" s="19" t="s">
        <v>127</v>
      </c>
      <c r="I199" s="20">
        <v>40959</v>
      </c>
    </row>
    <row r="200" spans="1:9" ht="15" customHeight="1">
      <c r="A200" s="16">
        <v>40959</v>
      </c>
      <c r="B200" s="17" t="s">
        <v>58</v>
      </c>
      <c r="C200" s="17" t="s">
        <v>124</v>
      </c>
      <c r="D200" s="17" t="s">
        <v>125</v>
      </c>
      <c r="E200" s="18">
        <v>20000</v>
      </c>
      <c r="F200" s="19" t="s">
        <v>126</v>
      </c>
      <c r="G200" s="19" t="s">
        <v>38</v>
      </c>
      <c r="H200" s="19" t="s">
        <v>127</v>
      </c>
      <c r="I200" s="20">
        <v>40959</v>
      </c>
    </row>
    <row r="201" spans="1:9" ht="15" customHeight="1">
      <c r="A201" s="16">
        <v>40964</v>
      </c>
      <c r="B201" s="17" t="s">
        <v>54</v>
      </c>
      <c r="C201" s="17" t="s">
        <v>139</v>
      </c>
      <c r="D201" s="17" t="s">
        <v>140</v>
      </c>
      <c r="E201" s="18">
        <v>2200</v>
      </c>
      <c r="F201" s="19" t="s">
        <v>126</v>
      </c>
      <c r="G201" s="19" t="s">
        <v>38</v>
      </c>
      <c r="H201" s="19" t="s">
        <v>141</v>
      </c>
      <c r="I201" s="20">
        <v>40964</v>
      </c>
    </row>
    <row r="202" spans="1:9" ht="15" customHeight="1">
      <c r="A202" s="16">
        <v>40964</v>
      </c>
      <c r="B202" s="17" t="s">
        <v>53</v>
      </c>
      <c r="C202" s="17" t="s">
        <v>118</v>
      </c>
      <c r="D202" s="17" t="s">
        <v>119</v>
      </c>
      <c r="E202" s="18">
        <v>75</v>
      </c>
      <c r="F202" s="19" t="s">
        <v>37</v>
      </c>
      <c r="G202" s="19" t="s">
        <v>66</v>
      </c>
      <c r="H202" s="19" t="s">
        <v>120</v>
      </c>
      <c r="I202" s="20">
        <v>40964</v>
      </c>
    </row>
    <row r="203" spans="1:9" ht="15" customHeight="1">
      <c r="A203" s="16">
        <v>40965</v>
      </c>
      <c r="B203" s="17" t="s">
        <v>60</v>
      </c>
      <c r="C203" s="17" t="s">
        <v>35</v>
      </c>
      <c r="D203" s="17" t="s">
        <v>191</v>
      </c>
      <c r="E203" s="18">
        <v>10000</v>
      </c>
      <c r="F203" s="19" t="s">
        <v>37</v>
      </c>
      <c r="G203" s="19" t="s">
        <v>38</v>
      </c>
      <c r="H203" s="19" t="s">
        <v>143</v>
      </c>
      <c r="I203" s="20"/>
    </row>
    <row r="204" spans="1:9" ht="15" customHeight="1">
      <c r="A204" s="16">
        <v>40965</v>
      </c>
      <c r="B204" s="17" t="s">
        <v>58</v>
      </c>
      <c r="C204" s="17" t="s">
        <v>128</v>
      </c>
      <c r="D204" s="17" t="s">
        <v>129</v>
      </c>
      <c r="E204" s="18">
        <v>20000</v>
      </c>
      <c r="F204" s="19" t="s">
        <v>126</v>
      </c>
      <c r="G204" s="19" t="s">
        <v>65</v>
      </c>
      <c r="H204" s="19" t="s">
        <v>130</v>
      </c>
      <c r="I204" s="20">
        <v>40965</v>
      </c>
    </row>
    <row r="205" spans="1:9" ht="15" customHeight="1">
      <c r="A205" s="16">
        <v>40965</v>
      </c>
      <c r="B205" s="17" t="s">
        <v>55</v>
      </c>
      <c r="C205" s="17" t="s">
        <v>112</v>
      </c>
      <c r="D205" s="17" t="s">
        <v>131</v>
      </c>
      <c r="E205" s="18">
        <v>220</v>
      </c>
      <c r="F205" s="19" t="s">
        <v>126</v>
      </c>
      <c r="G205" s="19" t="s">
        <v>38</v>
      </c>
      <c r="H205" s="19" t="s">
        <v>132</v>
      </c>
      <c r="I205" s="20">
        <v>40965</v>
      </c>
    </row>
    <row r="206" spans="1:9" ht="15" customHeight="1">
      <c r="A206" s="16">
        <v>40965</v>
      </c>
      <c r="B206" s="17" t="s">
        <v>55</v>
      </c>
      <c r="C206" s="17" t="s">
        <v>112</v>
      </c>
      <c r="D206" s="17" t="s">
        <v>133</v>
      </c>
      <c r="E206" s="18">
        <v>100</v>
      </c>
      <c r="F206" s="19" t="s">
        <v>126</v>
      </c>
      <c r="G206" s="19" t="s">
        <v>38</v>
      </c>
      <c r="H206" s="19" t="s">
        <v>134</v>
      </c>
      <c r="I206" s="20">
        <v>40965</v>
      </c>
    </row>
    <row r="207" spans="1:9" ht="15" customHeight="1">
      <c r="A207" s="16">
        <v>40965</v>
      </c>
      <c r="B207" s="17" t="s">
        <v>48</v>
      </c>
      <c r="C207" s="17" t="s">
        <v>112</v>
      </c>
      <c r="D207" s="17" t="s">
        <v>135</v>
      </c>
      <c r="E207" s="18">
        <v>6400</v>
      </c>
      <c r="F207" s="19" t="s">
        <v>37</v>
      </c>
      <c r="G207" s="19" t="s">
        <v>38</v>
      </c>
      <c r="H207" s="19" t="s">
        <v>136</v>
      </c>
      <c r="I207" s="20">
        <v>40965</v>
      </c>
    </row>
    <row r="208" spans="1:9" ht="15" customHeight="1">
      <c r="A208" s="16">
        <v>40968</v>
      </c>
      <c r="B208" s="17" t="s">
        <v>58</v>
      </c>
      <c r="C208" s="17" t="s">
        <v>115</v>
      </c>
      <c r="D208" s="17" t="s">
        <v>137</v>
      </c>
      <c r="E208" s="18">
        <v>70</v>
      </c>
      <c r="F208" s="19" t="s">
        <v>126</v>
      </c>
      <c r="G208" s="19" t="s">
        <v>38</v>
      </c>
      <c r="H208" s="19" t="s">
        <v>127</v>
      </c>
      <c r="I208" s="20">
        <v>40968</v>
      </c>
    </row>
    <row r="209" spans="1:9" ht="15" customHeight="1">
      <c r="A209" s="16">
        <v>40968</v>
      </c>
      <c r="B209" s="17" t="s">
        <v>58</v>
      </c>
      <c r="C209" s="17" t="s">
        <v>115</v>
      </c>
      <c r="D209" s="17" t="s">
        <v>137</v>
      </c>
      <c r="E209" s="18">
        <v>-70</v>
      </c>
      <c r="F209" s="19" t="s">
        <v>126</v>
      </c>
      <c r="G209" s="19" t="s">
        <v>66</v>
      </c>
      <c r="H209" s="19" t="s">
        <v>127</v>
      </c>
      <c r="I209" s="20">
        <v>40968</v>
      </c>
    </row>
    <row r="210" spans="1:9" ht="15" customHeight="1">
      <c r="A210" s="16">
        <v>40968</v>
      </c>
      <c r="B210" s="17" t="s">
        <v>54</v>
      </c>
      <c r="C210" s="17" t="s">
        <v>139</v>
      </c>
      <c r="D210" s="17" t="s">
        <v>169</v>
      </c>
      <c r="E210" s="18">
        <v>3700</v>
      </c>
      <c r="F210" s="19" t="s">
        <v>126</v>
      </c>
      <c r="G210" s="19" t="s">
        <v>38</v>
      </c>
      <c r="H210" s="19" t="s">
        <v>170</v>
      </c>
      <c r="I210" s="20">
        <v>40968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Skills | Exercises | Pivot Tables</dc:title>
  <dc:subject/>
  <dc:creator>Excel Skills</dc:creator>
  <cp:keywords>excel exercise, free excel exercise</cp:keywords>
  <dc:description/>
  <cp:lastModifiedBy/>
  <cp:revision/>
  <dcterms:created xsi:type="dcterms:W3CDTF">2009-09-28T11:29:56Z</dcterms:created>
  <dcterms:modified xsi:type="dcterms:W3CDTF">2026-09-17T01:01:26Z</dcterms:modified>
  <cp:category/>
  <cp:contentStatus/>
</cp:coreProperties>
</file>